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1652E557-69D2-440E-94B3-8C1895566A36}" xr6:coauthVersionLast="47" xr6:coauthVersionMax="47" xr10:uidLastSave="{00000000-0000-0000-0000-000000000000}"/>
  <bookViews>
    <workbookView xWindow="-108" yWindow="-108" windowWidth="23256" windowHeight="12456" firstSheet="2" activeTab="4" xr2:uid="{3D330878-914B-4BDC-9776-83594F2D8D40}"/>
  </bookViews>
  <sheets>
    <sheet name="retail_orders_raw_dataset" sheetId="1" r:id="rId1"/>
    <sheet name="Data Dictionary" sheetId="4" r:id="rId2"/>
    <sheet name="Data_Cleaning" sheetId="5" r:id="rId3"/>
    <sheet name="Calculations" sheetId="6" r:id="rId4"/>
    <sheet name="Descriptive Statistics" sheetId="9" r:id="rId5"/>
    <sheet name="Statistical_Analysis" sheetId="10" r:id="rId6"/>
    <sheet name="Pivot Table" sheetId="11" r:id="rId7"/>
    <sheet name="Dashboard" sheetId="7" r:id="rId8"/>
  </sheets>
  <definedNames>
    <definedName name="_xlnm._FilterDatabase" localSheetId="3" hidden="1">Calculations!$A$1:$O$121</definedName>
    <definedName name="_xlchart.v1.0" hidden="1">Calculations!$I$1</definedName>
    <definedName name="_xlchart.v1.1" hidden="1">Calculations!$I$2:$I$121</definedName>
    <definedName name="_xlchart.v1.2" hidden="1">Calculations!$I$1</definedName>
    <definedName name="_xlchart.v1.3" hidden="1">Calculations!$I$2:$I$121</definedName>
  </definedNames>
  <calcPr calcId="0"/>
  <pivotCaches>
    <pivotCache cacheId="8" r:id="rId9"/>
  </pivotCaches>
</workbook>
</file>

<file path=xl/calcChain.xml><?xml version="1.0" encoding="utf-8"?>
<calcChain xmlns="http://schemas.openxmlformats.org/spreadsheetml/2006/main">
  <c r="E20" i="9" l="1"/>
  <c r="E21" i="9"/>
  <c r="D20" i="9"/>
  <c r="B16" i="9"/>
  <c r="B15" i="9"/>
  <c r="B14" i="9"/>
  <c r="B13" i="9"/>
  <c r="E29" i="9"/>
  <c r="E28" i="9"/>
  <c r="E27" i="9"/>
  <c r="E24" i="9"/>
  <c r="E23" i="9"/>
  <c r="E22" i="9"/>
  <c r="C20" i="9"/>
  <c r="C21" i="9"/>
  <c r="C22" i="9"/>
  <c r="C23" i="9"/>
  <c r="C24" i="9"/>
  <c r="C27" i="9"/>
  <c r="C28" i="9"/>
  <c r="C29" i="9"/>
  <c r="B2" i="9"/>
  <c r="B8" i="9"/>
  <c r="M124" i="6"/>
  <c r="L124" i="6"/>
  <c r="J124" i="6"/>
  <c r="I124" i="6"/>
  <c r="D29" i="9"/>
  <c r="B29" i="9"/>
  <c r="D28" i="9"/>
  <c r="B28" i="9"/>
  <c r="D27" i="9"/>
  <c r="B27" i="9"/>
  <c r="D24" i="9"/>
  <c r="B24" i="9"/>
  <c r="D23" i="9"/>
  <c r="B23" i="9"/>
  <c r="D22" i="9"/>
  <c r="B22" i="9"/>
  <c r="D21" i="9"/>
  <c r="B21" i="9"/>
  <c r="B20" i="9"/>
  <c r="B17" i="9"/>
  <c r="B12" i="9"/>
  <c r="B11" i="9"/>
  <c r="B10" i="9"/>
  <c r="B9" i="9"/>
  <c r="B7" i="9"/>
  <c r="B6" i="9"/>
  <c r="B5" i="9"/>
  <c r="B4" i="9"/>
  <c r="B3" i="9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2" i="5"/>
  <c r="E3" i="9"/>
  <c r="E7" i="9"/>
  <c r="E11" i="9"/>
  <c r="E15" i="9"/>
  <c r="E4" i="9"/>
  <c r="E8" i="9"/>
  <c r="E12" i="9"/>
  <c r="E16" i="9"/>
  <c r="E5" i="9"/>
  <c r="E9" i="9"/>
  <c r="E13" i="9"/>
  <c r="E17" i="9"/>
  <c r="E6" i="9"/>
  <c r="E10" i="9"/>
  <c r="E14" i="9"/>
  <c r="E2" i="9"/>
</calcChain>
</file>

<file path=xl/sharedStrings.xml><?xml version="1.0" encoding="utf-8"?>
<sst xmlns="http://schemas.openxmlformats.org/spreadsheetml/2006/main" count="2003" uniqueCount="256">
  <si>
    <t>OrderID</t>
  </si>
  <si>
    <t>OrderDate</t>
  </si>
  <si>
    <t>CustomerSegment</t>
  </si>
  <si>
    <t>Region</t>
  </si>
  <si>
    <t>ProductCategory</t>
  </si>
  <si>
    <t>Quantity</t>
  </si>
  <si>
    <t>UnitPrice</t>
  </si>
  <si>
    <t>DiscountPercent</t>
  </si>
  <si>
    <t>OrderValue</t>
  </si>
  <si>
    <t>ShippingCost</t>
  </si>
  <si>
    <t>PaymentMethod</t>
  </si>
  <si>
    <t>ORD-1001</t>
  </si>
  <si>
    <t>Consumer</t>
  </si>
  <si>
    <t>North</t>
  </si>
  <si>
    <t>Furniture</t>
  </si>
  <si>
    <t>Cash on Delivery</t>
  </si>
  <si>
    <t>ORD-1002</t>
  </si>
  <si>
    <t>Corporate</t>
  </si>
  <si>
    <t>West</t>
  </si>
  <si>
    <t>Electronics</t>
  </si>
  <si>
    <t>Credit Card</t>
  </si>
  <si>
    <t>ORD-1003</t>
  </si>
  <si>
    <t>Central</t>
  </si>
  <si>
    <t>Apparel</t>
  </si>
  <si>
    <t>Debit Card</t>
  </si>
  <si>
    <t>ORD-1004</t>
  </si>
  <si>
    <t>Small Business</t>
  </si>
  <si>
    <t>East</t>
  </si>
  <si>
    <t>ORD-1005</t>
  </si>
  <si>
    <t>UPI</t>
  </si>
  <si>
    <t>ORD-1006</t>
  </si>
  <si>
    <t>Home &amp; Kitchen</t>
  </si>
  <si>
    <t>ORD-1007</t>
  </si>
  <si>
    <t>South</t>
  </si>
  <si>
    <t>Net Banking</t>
  </si>
  <si>
    <t>ORD-1008</t>
  </si>
  <si>
    <t>Office Supplies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</si>
  <si>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</si>
  <si>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</si>
  <si>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</si>
  <si>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</si>
  <si>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</si>
  <si>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</si>
  <si>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</si>
  <si>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</si>
  <si>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</si>
  <si>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</si>
  <si>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</si>
  <si>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</si>
  <si>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</si>
  <si>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</si>
  <si>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</si>
  <si>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</si>
  <si>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</si>
  <si>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</si>
  <si>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</si>
  <si>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</si>
  <si>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</si>
  <si>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</si>
  <si>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</si>
  <si>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</si>
  <si>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</si>
  <si>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</si>
  <si>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</si>
  <si>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</si>
  <si>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</si>
  <si>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</si>
  <si>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</si>
  <si>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</si>
  <si>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</si>
  <si>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</si>
  <si>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</si>
  <si>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</si>
  <si>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</si>
  <si>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</si>
  <si>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</si>
  <si>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</si>
  <si>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</si>
  <si>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</si>
  <si>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</si>
  <si>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</si>
  <si>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</si>
  <si>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</si>
  <si>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</si>
  <si>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</si>
  <si>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</si>
  <si>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</si>
  <si>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</si>
  <si>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</si>
  <si>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</si>
  <si>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</si>
  <si>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</si>
  <si>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</si>
  <si>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</si>
  <si>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</si>
  <si>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</si>
  <si>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</si>
  <si>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</si>
  <si>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</si>
  <si>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</si>
  <si>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</si>
  <si>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</si>
  <si>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</si>
  <si>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</si>
  <si>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</si>
  <si>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</si>
  <si>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</si>
  <si>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</si>
  <si>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</si>
  <si>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</si>
  <si>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</si>
  <si>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</si>
  <si>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</si>
  <si>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</si>
  <si>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</si>
  <si>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</si>
  <si>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</si>
  <si>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</si>
  <si>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</si>
  <si>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</si>
  <si>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</si>
  <si>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</si>
  <si>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</si>
  <si>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</si>
  <si>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</si>
  <si>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</si>
  <si>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</si>
  <si>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</si>
  <si>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</si>
  <si>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</si>
  <si>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</si>
  <si>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</si>
  <si>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</si>
  <si>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</si>
  <si>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</si>
  <si>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</si>
  <si>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</si>
  <si>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</si>
  <si>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</si>
  <si>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</si>
  <si>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</si>
  <si>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</si>
  <si>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</si>
  <si>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</si>
  <si>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</si>
  <si>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</si>
  <si>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</si>
  <si>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</si>
  <si>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</si>
  <si>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Column Name</t>
  </si>
  <si>
    <t>Data Type</t>
  </si>
  <si>
    <t>Description</t>
  </si>
  <si>
    <t>Example Value</t>
  </si>
  <si>
    <t>Text</t>
  </si>
  <si>
    <t>Unique identifier for each order</t>
  </si>
  <si>
    <t>Date</t>
  </si>
  <si>
    <t>Date order was placed</t>
  </si>
  <si>
    <t>Market category of buyer</t>
  </si>
  <si>
    <t>Geographic territory</t>
  </si>
  <si>
    <t>Product classification</t>
  </si>
  <si>
    <t>Integer</t>
  </si>
  <si>
    <t>Units ordered</t>
  </si>
  <si>
    <t>Currency</t>
  </si>
  <si>
    <t>Price per individual unit</t>
  </si>
  <si>
    <t>$280.81</t>
  </si>
  <si>
    <t>Promotional discount rate</t>
  </si>
  <si>
    <t>Total billed value after discount</t>
  </si>
  <si>
    <t>$716.07</t>
  </si>
  <si>
    <t>Logistics cost incurred</t>
  </si>
  <si>
    <t>$4.36</t>
  </si>
  <si>
    <t>Transaction channel used</t>
  </si>
  <si>
    <t>Duplicate_Check</t>
  </si>
  <si>
    <t>Blank_Check</t>
  </si>
  <si>
    <t>Standardize_Text</t>
  </si>
  <si>
    <t>Math_Check</t>
  </si>
  <si>
    <t>Validation_Flag</t>
  </si>
  <si>
    <t>Cleaning_Log</t>
  </si>
  <si>
    <t>Revenue_Per_Unit</t>
  </si>
  <si>
    <t>Net_Margin_Proxy</t>
  </si>
  <si>
    <t>Month</t>
  </si>
  <si>
    <t>Discount_Tier</t>
  </si>
  <si>
    <t>Count (Total Orders)</t>
  </si>
  <si>
    <t>Total number of transactions</t>
  </si>
  <si>
    <t>Mean (Average)</t>
  </si>
  <si>
    <t>$890.27</t>
  </si>
  <si>
    <t>The arithmetic average order value</t>
  </si>
  <si>
    <t>Median</t>
  </si>
  <si>
    <t>$473.33</t>
  </si>
  <si>
    <t>Middle order value; 50% are higher, 50% are lower</t>
  </si>
  <si>
    <t>Mode</t>
  </si>
  <si>
    <t>All Unique</t>
  </si>
  <si>
    <t>Most frequent order value (no duplicates in this dataset)</t>
  </si>
  <si>
    <t>Minimum</t>
  </si>
  <si>
    <t>$13.10</t>
  </si>
  <si>
    <t>The smallest single order</t>
  </si>
  <si>
    <t>Maximum</t>
  </si>
  <si>
    <t>$5,341.32</t>
  </si>
  <si>
    <t>The largest single order</t>
  </si>
  <si>
    <t>Range</t>
  </si>
  <si>
    <t>$5,328.22</t>
  </si>
  <si>
    <t>The total spread between maximum and minimum</t>
  </si>
  <si>
    <t>Sample Variance</t>
  </si>
  <si>
    <t>Statistical variance of order values</t>
  </si>
  <si>
    <t>Sample Standard Deviation</t>
  </si>
  <si>
    <t>$1,048.81</t>
  </si>
  <si>
    <t>Consistency metric; larger than mean = high variation</t>
  </si>
  <si>
    <t>Q1 (25th Percentile)</t>
  </si>
  <si>
    <t>$185.69</t>
  </si>
  <si>
    <t>25% of all orders are below this amount</t>
  </si>
  <si>
    <t>Q3 (75th Percentile)</t>
  </si>
  <si>
    <t>$1,280.60</t>
  </si>
  <si>
    <t>75% of all orders are below this amount</t>
  </si>
  <si>
    <t>IQR (Interquartile Range)</t>
  </si>
  <si>
    <t>$1,094.90</t>
  </si>
  <si>
    <t>The spread of the middle 50% of orders (Q3 minus Q1)</t>
  </si>
  <si>
    <t>Lower Outlier Fence</t>
  </si>
  <si>
    <t>-$1,456.66</t>
  </si>
  <si>
    <t>Values below this are outliers (none exist)</t>
  </si>
  <si>
    <t>Upper Outlier Fence</t>
  </si>
  <si>
    <t>$2,922.95</t>
  </si>
  <si>
    <t>Values above this are outliers</t>
  </si>
  <si>
    <t>Outlier Orders Count</t>
  </si>
  <si>
    <t>Exactly 8 orders qualify as high-value outliers</t>
  </si>
  <si>
    <t>90th Percentile</t>
  </si>
  <si>
    <t>$2,426.08</t>
  </si>
  <si>
    <t>Top 10% threshold (useful for VIP loyalty tiering)</t>
  </si>
  <si>
    <t>Metric</t>
  </si>
  <si>
    <t>Formula to Type in Cell C</t>
  </si>
  <si>
    <t>What Excel Displays</t>
  </si>
  <si>
    <t>Meaning</t>
  </si>
  <si>
    <t>Total Revenue</t>
  </si>
  <si>
    <t>Average Order Value</t>
  </si>
  <si>
    <t>Order Count</t>
  </si>
  <si>
    <t>Customer Segment</t>
  </si>
  <si>
    <t>Consuner</t>
  </si>
  <si>
    <t>Small Bussiness</t>
  </si>
  <si>
    <t>Retail Orders — Key Statistical Findings &amp; Insights</t>
  </si>
  <si>
    <r>
      <t>(Central Tendency &amp; Skew) :-Right-Skewed Distribution</t>
    </r>
    <r>
      <rPr>
        <sz val="11"/>
        <color theme="1"/>
        <rFont val="Calibri"/>
        <family val="2"/>
        <scheme val="minor"/>
      </rPr>
      <t>: The average order value ($890.27) is nearly double the median ($473.33). This large gap indicates a strong right-skew, meaning a small number of very large orders inflate the average, while the typical customer basket is closer to $473.</t>
    </r>
  </si>
  <si>
    <r>
      <rPr>
        <b/>
        <sz val="11"/>
        <color theme="1"/>
        <rFont val="Calibri"/>
        <family val="2"/>
        <scheme val="minor"/>
      </rPr>
      <t>(Consistency &amp; Volatility):High Size Inconsistency:</t>
    </r>
    <r>
      <rPr>
        <sz val="11"/>
        <color theme="1"/>
        <rFont val="Calibri"/>
        <family val="2"/>
        <scheme val="minor"/>
      </rPr>
      <t xml:space="preserve"> The sample standard deviation ($1,048.81) exceeds the mean ($890.27). This shows extreme variability in customer basket sizes, ranging from small $13.10 purchases to over $5,000 bulk orders.</t>
    </r>
  </si>
  <si>
    <r>
      <rPr>
        <b/>
        <sz val="11"/>
        <color theme="1"/>
        <rFont val="Calibri"/>
        <family val="2"/>
        <scheme val="minor"/>
      </rPr>
      <t>(Typical Range &amp; IQR):</t>
    </r>
    <r>
      <rPr>
        <sz val="11"/>
        <color theme="1"/>
        <rFont val="Calibri"/>
        <family val="2"/>
        <scheme val="minor"/>
      </rPr>
      <t>Middle 50% Spread: The typical middle 50% of orders (interquartile range) spans from $185.69 (Q1) to $1,280.60 (Q3), with an IQR of $1,094.90.</t>
    </r>
  </si>
  <si>
    <r>
      <rPr>
        <b/>
        <sz val="11"/>
        <color theme="1"/>
        <rFont val="Calibri"/>
        <family val="2"/>
        <scheme val="minor"/>
      </rPr>
      <t>(Outlier Analysis):-</t>
    </r>
    <r>
      <rPr>
        <sz val="11"/>
        <color theme="1"/>
        <rFont val="Calibri"/>
        <family val="2"/>
        <scheme val="minor"/>
      </rPr>
      <t>High-Value Outliers: There are 8 outlier orders exceeding the upper statistical boundary of $2,922.95. All 8 are high-quantity purchases (6–8 units) of Furniture and Electronics with little to no discount.</t>
    </r>
  </si>
  <si>
    <r>
      <rPr>
        <b/>
        <sz val="11"/>
        <color theme="1"/>
        <rFont val="Calibri"/>
        <family val="2"/>
        <scheme val="minor"/>
      </rPr>
      <t>(Volume vs. Revenue Contrast):</t>
    </r>
    <r>
      <rPr>
        <sz val="11"/>
        <color theme="1"/>
        <rFont val="Calibri"/>
        <family val="2"/>
        <scheme val="minor"/>
      </rPr>
      <t xml:space="preserve">
Frequency vs. Value Paradox: Office Supplies is the most frequently ordered category (31 orders; 25.8% of volume), but accounts for less than 4% of total revenue. Conversely, Furniture accounts for 19.2% of orders but drives 44.5% of total revenue.</t>
    </r>
  </si>
  <si>
    <r>
      <rPr>
        <b/>
        <sz val="11"/>
        <color theme="1"/>
        <rFont val="Calibri"/>
        <family val="2"/>
        <scheme val="minor"/>
      </rPr>
      <t>(Regional Performance):</t>
    </r>
    <r>
      <rPr>
        <sz val="11"/>
        <color theme="1"/>
        <rFont val="Calibri"/>
        <family val="2"/>
        <scheme val="minor"/>
      </rPr>
      <t xml:space="preserve">
Top Revenue Region: Central is the leading territory, generating $34,125.63 (31.9% of company revenue) with the highest Average Order Value ($1,066.43 across 32 orders).</t>
    </r>
  </si>
  <si>
    <r>
      <rPr>
        <b/>
        <sz val="11"/>
        <color theme="1"/>
        <rFont val="Calibri"/>
        <family val="2"/>
        <scheme val="minor"/>
      </rPr>
      <t>(Customer Segments):</t>
    </r>
    <r>
      <rPr>
        <sz val="11"/>
        <color theme="1"/>
        <rFont val="Calibri"/>
        <family val="2"/>
        <scheme val="minor"/>
      </rPr>
      <t xml:space="preserve">
Highest-Value Segment: Corporate clients yield the highest Average Order Value at $1,098.06, compared to $832.20 for Consumers and $765.52 for Small Businesses.</t>
    </r>
  </si>
  <si>
    <r>
      <rPr>
        <b/>
        <sz val="11"/>
        <color theme="1"/>
        <rFont val="Calibri"/>
        <family val="2"/>
        <scheme val="minor"/>
      </rPr>
      <t>(Loyalty &amp; VIP Threshold):</t>
    </r>
    <r>
      <rPr>
        <sz val="11"/>
        <color theme="1"/>
        <rFont val="Calibri"/>
        <family val="2"/>
        <scheme val="minor"/>
      </rPr>
      <t xml:space="preserve">
VIP Program Design: The 90th percentile is $2,426.08. Only 10% of orders reach or exceed this level, making ~$2,500 an effective threshold for an elite customer tier.</t>
    </r>
  </si>
  <si>
    <t>Row Labels</t>
  </si>
  <si>
    <t>Grand Total</t>
  </si>
  <si>
    <t>Sum of OrderValue</t>
  </si>
  <si>
    <t>Count of OrderID</t>
  </si>
  <si>
    <t>Column Labels</t>
  </si>
  <si>
    <t>Count of OrderID2</t>
  </si>
  <si>
    <t>Retail Sales &amp; Performance Dashboard</t>
  </si>
  <si>
    <t>AVERAGE ORDER VALUE</t>
  </si>
  <si>
    <t>TOTAL ORDERS</t>
  </si>
  <si>
    <t>MEDIAN ORDER VALUE</t>
  </si>
  <si>
    <r>
      <t xml:space="preserve">Executive Statistical Strategy — Key Points
</t>
    </r>
    <r>
      <rPr>
        <b/>
        <sz val="10"/>
        <color theme="1"/>
        <rFont val="Calibri"/>
        <family val="2"/>
        <scheme val="minor"/>
      </rPr>
      <t xml:space="preserve">
Core Insights</t>
    </r>
    <r>
      <rPr>
        <sz val="10"/>
        <color theme="1"/>
        <rFont val="Calibri"/>
        <family val="2"/>
        <scheme val="minor"/>
      </rPr>
      <t xml:space="preserve">
Severe right-skew: Average order $890 vs median $473. A few large orders inflate the average.
Discount paradox: Undiscounted AOV $1,083 vs discounted AOV $689. Discounts are not increasing basket size.
</t>
    </r>
    <r>
      <rPr>
        <b/>
        <sz val="10"/>
        <color theme="1"/>
        <rFont val="Calibri"/>
        <family val="2"/>
        <scheme val="minor"/>
      </rPr>
      <t>5 Immediate Strategic Moves</t>
    </r>
    <r>
      <rPr>
        <sz val="10"/>
        <color theme="1"/>
        <rFont val="Calibri"/>
        <family val="2"/>
        <scheme val="minor"/>
      </rPr>
      <t xml:space="preserve">
1. Replace blanket discounts: Use spend thresholds like $600 free delivery or $1,500 save $150.
2. Prioritize Corporate &amp; Central: Corporate AOV $1,098. Central generates 32% of revenue ($34,126).
3. Bundle Office Supplies: Cross-sell with Furniture and Tech instead of standalone marketing.
4. Cap COD at $500: Require UPI/Card prepayment for higher-value orders.
5. Launch $2,500 VIP Tier: Target the top 10% of high-value buyers.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</si>
</sst>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70" formatCode="_-[$$-409]* #,##0.00_ ;_-[$$-409]* \-#,##0.00\ ;_-[$$-409]* &quot;-&quot;??_ ;_-@_ "/>
    <numFmt numFmtId="171" formatCode="_-[$$-409]* #,##0.0_ ;_-[$$-409]* \-#,##0.0\ ;_-[$$-409]* &quot;-&quot;??_ ;_-@_ "/>
    <numFmt numFmtId="172" formatCode="0.0"/>
    <numFmt numFmtId="174" formatCode="0.0%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002060"/>
      <name val="Arial Rounded MT Bold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5FFF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14" fontId="19" fillId="33" borderId="10" xfId="0" applyNumberFormat="1" applyFont="1" applyFill="1" applyBorder="1" applyAlignment="1">
      <alignment horizontal="center" vertical="center" wrapText="1"/>
    </xf>
    <xf numFmtId="0" fontId="0" fillId="34" borderId="10" xfId="0" applyFont="1" applyFill="1" applyBorder="1"/>
    <xf numFmtId="14" fontId="0" fillId="34" borderId="10" xfId="0" applyNumberFormat="1" applyFont="1" applyFill="1" applyBorder="1"/>
    <xf numFmtId="0" fontId="20" fillId="34" borderId="10" xfId="0" applyFont="1" applyFill="1" applyBorder="1"/>
    <xf numFmtId="0" fontId="24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0" fontId="24" fillId="35" borderId="17" xfId="0" applyFont="1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4" fontId="23" fillId="34" borderId="16" xfId="0" applyNumberFormat="1" applyFont="1" applyFill="1" applyBorder="1" applyAlignment="1">
      <alignment horizontal="center" vertical="center"/>
    </xf>
    <xf numFmtId="49" fontId="0" fillId="36" borderId="20" xfId="0" applyNumberForma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71" fontId="0" fillId="37" borderId="10" xfId="0" applyNumberForma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171" fontId="0" fillId="38" borderId="10" xfId="0" applyNumberFormat="1" applyFill="1" applyBorder="1" applyAlignment="1">
      <alignment horizontal="center" vertical="center"/>
    </xf>
    <xf numFmtId="0" fontId="23" fillId="34" borderId="16" xfId="0" applyNumberFormat="1" applyFont="1" applyFill="1" applyBorder="1" applyAlignment="1">
      <alignment horizontal="center" vertical="center" wrapText="1"/>
    </xf>
    <xf numFmtId="172" fontId="23" fillId="34" borderId="15" xfId="0" applyNumberFormat="1" applyFont="1" applyFill="1" applyBorder="1" applyAlignment="1">
      <alignment horizontal="center" vertical="center" wrapText="1"/>
    </xf>
    <xf numFmtId="172" fontId="23" fillId="34" borderId="16" xfId="0" applyNumberFormat="1" applyFont="1" applyFill="1" applyBorder="1" applyAlignment="1">
      <alignment horizontal="center" vertical="center" wrapText="1"/>
    </xf>
    <xf numFmtId="0" fontId="16" fillId="39" borderId="10" xfId="0" applyFont="1" applyFill="1" applyBorder="1" applyAlignment="1">
      <alignment wrapText="1"/>
    </xf>
    <xf numFmtId="0" fontId="0" fillId="39" borderId="10" xfId="0" applyFill="1" applyBorder="1" applyAlignment="1">
      <alignment horizontal="left" vertical="top" wrapText="1"/>
    </xf>
    <xf numFmtId="0" fontId="0" fillId="39" borderId="10" xfId="0" applyFill="1" applyBorder="1" applyAlignment="1">
      <alignment wrapText="1"/>
    </xf>
    <xf numFmtId="0" fontId="25" fillId="40" borderId="10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0" fontId="0" fillId="0" borderId="0" xfId="0" applyNumberFormat="1"/>
    <xf numFmtId="174" fontId="0" fillId="0" borderId="0" xfId="0" applyNumberFormat="1"/>
    <xf numFmtId="0" fontId="19" fillId="0" borderId="0" xfId="0" applyFont="1"/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0" fontId="28" fillId="41" borderId="21" xfId="0" applyFont="1" applyFill="1" applyBorder="1" applyAlignment="1">
      <alignment horizontal="left" vertical="top" wrapText="1"/>
    </xf>
    <xf numFmtId="0" fontId="28" fillId="41" borderId="22" xfId="0" applyFont="1" applyFill="1" applyBorder="1" applyAlignment="1">
      <alignment horizontal="left" vertical="top"/>
    </xf>
    <xf numFmtId="0" fontId="28" fillId="41" borderId="23" xfId="0" applyFont="1" applyFill="1" applyBorder="1" applyAlignment="1">
      <alignment horizontal="left" vertical="top"/>
    </xf>
    <xf numFmtId="0" fontId="28" fillId="41" borderId="24" xfId="0" applyFont="1" applyFill="1" applyBorder="1" applyAlignment="1">
      <alignment horizontal="left" vertical="top"/>
    </xf>
    <xf numFmtId="0" fontId="28" fillId="41" borderId="0" xfId="0" applyFont="1" applyFill="1" applyBorder="1" applyAlignment="1">
      <alignment horizontal="left" vertical="top"/>
    </xf>
    <xf numFmtId="0" fontId="28" fillId="41" borderId="25" xfId="0" applyFont="1" applyFill="1" applyBorder="1" applyAlignment="1">
      <alignment horizontal="left" vertical="top"/>
    </xf>
    <xf numFmtId="0" fontId="28" fillId="41" borderId="26" xfId="0" applyFont="1" applyFill="1" applyBorder="1" applyAlignment="1">
      <alignment horizontal="left" vertical="top"/>
    </xf>
    <xf numFmtId="0" fontId="28" fillId="41" borderId="27" xfId="0" applyFont="1" applyFill="1" applyBorder="1" applyAlignment="1">
      <alignment horizontal="left" vertical="top"/>
    </xf>
    <xf numFmtId="0" fontId="28" fillId="41" borderId="28" xfId="0" applyFont="1" applyFill="1" applyBorder="1" applyAlignment="1">
      <alignment horizontal="left" vertical="top"/>
    </xf>
    <xf numFmtId="0" fontId="0" fillId="36" borderId="19" xfId="0" applyNumberFormat="1" applyFill="1" applyBorder="1" applyAlignment="1">
      <alignment horizontal="center" vertical="center"/>
    </xf>
    <xf numFmtId="2" fontId="23" fillId="34" borderId="16" xfId="1" applyNumberFormat="1" applyFont="1" applyFill="1" applyBorder="1" applyAlignment="1">
      <alignment horizontal="center" vertical="center" wrapText="1"/>
    </xf>
    <xf numFmtId="2" fontId="0" fillId="36" borderId="19" xfId="0" applyNumberFormat="1" applyFill="1" applyBorder="1" applyAlignment="1">
      <alignment horizontal="center" vertical="center"/>
    </xf>
    <xf numFmtId="1" fontId="0" fillId="36" borderId="19" xfId="0" applyNumberForma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numFmt numFmtId="173" formatCode="&quot;₹&quot;\ #,##0.0"/>
    </dxf>
    <dxf>
      <numFmt numFmtId="173" formatCode="&quot;₹&quot;\ #,##0.0"/>
    </dxf>
    <dxf>
      <numFmt numFmtId="173" formatCode="&quot;₹&quot;\ #,##0.0"/>
    </dxf>
    <dxf>
      <numFmt numFmtId="170" formatCode="_-[$$-409]* #,##0.00_ ;_-[$$-409]* \-#,##0.00\ ;_-[$$-409]* &quot;-&quot;??_ ;_-@_ "/>
    </dxf>
    <dxf>
      <numFmt numFmtId="173" formatCode="&quot;₹&quot;\ #,##0.0"/>
    </dxf>
    <dxf>
      <numFmt numFmtId="173" formatCode="&quot;₹&quot;\ #,##0.0"/>
    </dxf>
    <dxf>
      <numFmt numFmtId="173" formatCode="&quot;₹&quot;\ #,##0.0"/>
    </dxf>
    <dxf>
      <numFmt numFmtId="170" formatCode="_-[$$-409]* #,##0.00_ ;_-[$$-409]* \-#,##0.00\ ;_-[$$-409]* &quot;-&quot;??_ ;_-@_ "/>
    </dxf>
    <dxf>
      <numFmt numFmtId="174" formatCode="0.0%"/>
    </dxf>
    <dxf>
      <numFmt numFmtId="170" formatCode="_-[$$-409]* #,##0.00_ ;_-[$$-409]* \-#,##0.00\ ;_-[$$-409]* &quot;-&quot;??_ ;_-@_ "/>
    </dxf>
    <dxf>
      <numFmt numFmtId="170" formatCode="_-[$$-409]* #,##0.00_ ;_-[$$-409]* \-#,##0.00\ ;_-[$$-409]* &quot;-&quot;??_ ;_-@_ "/>
    </dxf>
    <dxf>
      <numFmt numFmtId="173" formatCode="&quot;₹&quot;\ #,##0.0"/>
    </dxf>
    <dxf>
      <numFmt numFmtId="173" formatCode="&quot;₹&quot;\ #,##0.0"/>
    </dxf>
    <dxf>
      <numFmt numFmtId="173" formatCode="&quot;₹&quot;\ #,##0.0"/>
    </dxf>
  </dxfs>
  <tableStyles count="0" defaultTableStyle="TableStyleMedium2" defaultPivotStyle="PivotStyleLight16"/>
  <colors>
    <mruColors>
      <color rgb="FF333399"/>
      <color rgb="FFD5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[retail_orders_beginner_dataset 2.xlsx]Pivot Table!PivotTable1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Sum of OrderValue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Table'!$B$2:$B$7</c:f>
              <c:numCache>
                <c:formatCode>General</c:formatCode>
                <c:ptCount val="5"/>
                <c:pt idx="0">
                  <c:v>34125.629999999997</c:v>
                </c:pt>
                <c:pt idx="1">
                  <c:v>24833.109999999997</c:v>
                </c:pt>
                <c:pt idx="2">
                  <c:v>12667.099999999997</c:v>
                </c:pt>
                <c:pt idx="3">
                  <c:v>21448.010000000006</c:v>
                </c:pt>
                <c:pt idx="4">
                  <c:v>13759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8-4C8A-91BE-DF73DF885BBD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Average Order Value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Table'!$C$2:$C$7</c:f>
              <c:numCache>
                <c:formatCode>_-[$$-409]* #,##0.00_ ;_-[$$-409]* \-#,##0.00\ ;_-[$$-409]* "-"??_ ;_-@_ </c:formatCode>
                <c:ptCount val="5"/>
                <c:pt idx="0">
                  <c:v>1066.4259374999999</c:v>
                </c:pt>
                <c:pt idx="1">
                  <c:v>827.77033333333327</c:v>
                </c:pt>
                <c:pt idx="2">
                  <c:v>791.6937499999998</c:v>
                </c:pt>
                <c:pt idx="3">
                  <c:v>974.90954545454576</c:v>
                </c:pt>
                <c:pt idx="4">
                  <c:v>687.95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8-4C8A-91BE-DF73DF885BBD}"/>
            </c:ext>
          </c:extLst>
        </c:ser>
        <c:ser>
          <c:idx val="2"/>
          <c:order val="2"/>
          <c:tx>
            <c:strRef>
              <c:f>'Pivot Table'!$D$1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Table'!$D$2:$D$7</c:f>
              <c:numCache>
                <c:formatCode>General</c:formatCode>
                <c:ptCount val="5"/>
                <c:pt idx="0">
                  <c:v>32</c:v>
                </c:pt>
                <c:pt idx="1">
                  <c:v>30</c:v>
                </c:pt>
                <c:pt idx="2">
                  <c:v>16</c:v>
                </c:pt>
                <c:pt idx="3">
                  <c:v>22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F8-4C8A-91BE-DF73DF88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6648896"/>
        <c:axId val="859958000"/>
      </c:barChart>
      <c:catAx>
        <c:axId val="111664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by Region</a:t>
                </a:r>
              </a:p>
            </c:rich>
          </c:tx>
          <c:layout>
            <c:manualLayout>
              <c:xMode val="edge"/>
              <c:yMode val="edge"/>
              <c:x val="0.41254724409448817"/>
              <c:y val="0.8426640419947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58000"/>
        <c:crosses val="autoZero"/>
        <c:auto val="1"/>
        <c:lblAlgn val="ctr"/>
        <c:lblOffset val="100"/>
        <c:noMultiLvlLbl val="0"/>
      </c:catAx>
      <c:valAx>
        <c:axId val="8599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[retail_orders_beginner_dataset 2.xlsx]Pivot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Share by Category</a:t>
            </a:r>
          </a:p>
        </c:rich>
      </c:tx>
      <c:layout>
        <c:manualLayout>
          <c:xMode val="edge"/>
          <c:yMode val="edge"/>
          <c:x val="0.24454155730533683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5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5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5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5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5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5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5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5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5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0265748031496059"/>
          <c:y val="0.18641878098571013"/>
          <c:w val="0.45481539807524063"/>
          <c:h val="0.75802566345873446"/>
        </c:manualLayout>
      </c:layout>
      <c:doughnutChart>
        <c:varyColors val="1"/>
        <c:ser>
          <c:idx val="0"/>
          <c:order val="0"/>
          <c:tx>
            <c:strRef>
              <c:f>'Pivot Table'!$B$9:$B$10</c:f>
              <c:strCache>
                <c:ptCount val="1"/>
                <c:pt idx="0">
                  <c:v>Consumer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6F-47F7-839D-91CD75D55923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6F-47F7-839D-91CD75D5592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6F-47F7-839D-91CD75D55923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6F-47F7-839D-91CD75D55923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6F-47F7-839D-91CD75D559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Table'!$A$11:$A$16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'Pivot Table'!$B$11:$B$16</c:f>
              <c:numCache>
                <c:formatCode>_-[$$-409]* #,##0.00_ ;_-[$$-409]* \-#,##0.00\ ;_-[$$-409]* "-"??_ ;_-@_ </c:formatCode>
                <c:ptCount val="5"/>
                <c:pt idx="0">
                  <c:v>1676.06</c:v>
                </c:pt>
                <c:pt idx="1">
                  <c:v>11082.21</c:v>
                </c:pt>
                <c:pt idx="2">
                  <c:v>11744.61</c:v>
                </c:pt>
                <c:pt idx="3">
                  <c:v>3456.66</c:v>
                </c:pt>
                <c:pt idx="4">
                  <c:v>1167.53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6F-47F7-839D-91CD75D55923}"/>
            </c:ext>
          </c:extLst>
        </c:ser>
        <c:ser>
          <c:idx val="1"/>
          <c:order val="1"/>
          <c:tx>
            <c:strRef>
              <c:f>'Pivot Table'!$C$9:$C$10</c:f>
              <c:strCache>
                <c:ptCount val="1"/>
                <c:pt idx="0">
                  <c:v>Corporate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F16F-47F7-839D-91CD75D55923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F16F-47F7-839D-91CD75D5592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F16F-47F7-839D-91CD75D55923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F16F-47F7-839D-91CD75D55923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F16F-47F7-839D-91CD75D559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Table'!$A$11:$A$16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'Pivot Table'!$C$11:$C$16</c:f>
              <c:numCache>
                <c:formatCode>_-[$$-409]* #,##0.00_ ;_-[$$-409]* \-#,##0.00\ ;_-[$$-409]* "-"??_ ;_-@_ </c:formatCode>
                <c:ptCount val="5"/>
                <c:pt idx="0">
                  <c:v>2169.64</c:v>
                </c:pt>
                <c:pt idx="1">
                  <c:v>13725.42</c:v>
                </c:pt>
                <c:pt idx="2">
                  <c:v>15998.119999999999</c:v>
                </c:pt>
                <c:pt idx="3">
                  <c:v>8514.51</c:v>
                </c:pt>
                <c:pt idx="4">
                  <c:v>1318.7500000000002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16F-47F7-839D-91CD75D55923}"/>
            </c:ext>
          </c:extLst>
        </c:ser>
        <c:ser>
          <c:idx val="2"/>
          <c:order val="2"/>
          <c:tx>
            <c:strRef>
              <c:f>'Pivot Table'!$D$9:$D$10</c:f>
              <c:strCache>
                <c:ptCount val="1"/>
                <c:pt idx="0">
                  <c:v>Small Business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16F-47F7-839D-91CD75D55923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16F-47F7-839D-91CD75D5592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16F-47F7-839D-91CD75D55923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16F-47F7-839D-91CD75D55923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16F-47F7-839D-91CD75D559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Table'!$A$11:$A$16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'Pivot Table'!$D$11:$D$16</c:f>
              <c:numCache>
                <c:formatCode>_-[$$-409]* #,##0.00_ ;_-[$$-409]* \-#,##0.00\ ;_-[$$-409]* "-"??_ ;_-@_ </c:formatCode>
                <c:ptCount val="5"/>
                <c:pt idx="0">
                  <c:v>5065.1900000000005</c:v>
                </c:pt>
                <c:pt idx="1">
                  <c:v>6631.23</c:v>
                </c:pt>
                <c:pt idx="2">
                  <c:v>19802.39</c:v>
                </c:pt>
                <c:pt idx="3">
                  <c:v>2817.1400000000003</c:v>
                </c:pt>
                <c:pt idx="4">
                  <c:v>1663.3899999999999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16F-47F7-839D-91CD75D5592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Order Value Distribution &amp; Outliers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5666-4384-A075-484F119710CB}">
          <cx:tx>
            <cx:txData>
              <cx:f>_xlchart.v1.0</cx:f>
              <cx:v>OrderValue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C21E67B4-7C5D-496E-B226-1326B087596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>
      <a:innerShdw blurRad="114300">
        <a:prstClr val="black"/>
      </a:inn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83820</xdr:rowOff>
    </xdr:from>
    <xdr:to>
      <xdr:col>21</xdr:col>
      <xdr:colOff>541020</xdr:colOff>
      <xdr:row>8</xdr:row>
      <xdr:rowOff>129540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A41CE75-C8A6-AE58-B957-54E7FA527800}"/>
            </a:ext>
          </a:extLst>
        </xdr:cNvPr>
        <xdr:cNvGrpSpPr/>
      </xdr:nvGrpSpPr>
      <xdr:grpSpPr>
        <a:xfrm>
          <a:off x="495300" y="629450"/>
          <a:ext cx="12886831" cy="1118164"/>
          <a:chOff x="495300" y="632460"/>
          <a:chExt cx="12847320" cy="1143000"/>
        </a:xfrm>
        <a:scene3d>
          <a:camera prst="orthographicFront">
            <a:rot lat="0" lon="0" rev="0"/>
          </a:camera>
          <a:lightRig rig="soft" dir="t">
            <a:rot lat="0" lon="0" rev="0"/>
          </a:lightRig>
        </a:scene3d>
      </xdr:grpSpPr>
      <xdr:sp macro="" textlink="">
        <xdr:nvSpPr>
          <xdr:cNvPr id="2" name="Flowchart: Terminator 1">
            <a:extLst>
              <a:ext uri="{FF2B5EF4-FFF2-40B4-BE49-F238E27FC236}">
                <a16:creationId xmlns:a16="http://schemas.microsoft.com/office/drawing/2014/main" id="{FA68DBDF-55DA-BBA9-E910-1B3CD0A1A16E}"/>
              </a:ext>
            </a:extLst>
          </xdr:cNvPr>
          <xdr:cNvSpPr/>
        </xdr:nvSpPr>
        <xdr:spPr>
          <a:xfrm>
            <a:off x="495300" y="640080"/>
            <a:ext cx="3116580" cy="1127760"/>
          </a:xfrm>
          <a:prstGeom prst="flowChartTerminator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Flowchart: Terminator 2">
            <a:extLst>
              <a:ext uri="{FF2B5EF4-FFF2-40B4-BE49-F238E27FC236}">
                <a16:creationId xmlns:a16="http://schemas.microsoft.com/office/drawing/2014/main" id="{5DE8D70D-05EB-4320-8D31-A70D8018A20A}"/>
              </a:ext>
            </a:extLst>
          </xdr:cNvPr>
          <xdr:cNvSpPr/>
        </xdr:nvSpPr>
        <xdr:spPr>
          <a:xfrm>
            <a:off x="7040880" y="640080"/>
            <a:ext cx="3116580" cy="1127760"/>
          </a:xfrm>
          <a:prstGeom prst="flowChartTerminator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" name="Flowchart: Terminator 3">
            <a:extLst>
              <a:ext uri="{FF2B5EF4-FFF2-40B4-BE49-F238E27FC236}">
                <a16:creationId xmlns:a16="http://schemas.microsoft.com/office/drawing/2014/main" id="{DFC690A8-E198-443D-86A2-16A5CF63113A}"/>
              </a:ext>
            </a:extLst>
          </xdr:cNvPr>
          <xdr:cNvSpPr/>
        </xdr:nvSpPr>
        <xdr:spPr>
          <a:xfrm>
            <a:off x="3802380" y="647700"/>
            <a:ext cx="3116580" cy="1127760"/>
          </a:xfrm>
          <a:prstGeom prst="flowChartTerminator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" name="Flowchart: Terminator 4">
            <a:extLst>
              <a:ext uri="{FF2B5EF4-FFF2-40B4-BE49-F238E27FC236}">
                <a16:creationId xmlns:a16="http://schemas.microsoft.com/office/drawing/2014/main" id="{2B98E1FB-8E90-489B-8A49-8ACC921DFDA7}"/>
              </a:ext>
            </a:extLst>
          </xdr:cNvPr>
          <xdr:cNvSpPr/>
        </xdr:nvSpPr>
        <xdr:spPr>
          <a:xfrm>
            <a:off x="10226040" y="632460"/>
            <a:ext cx="3116580" cy="1127760"/>
          </a:xfrm>
          <a:prstGeom prst="flowChartTerminator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251460</xdr:colOff>
      <xdr:row>3</xdr:row>
      <xdr:rowOff>53340</xdr:rowOff>
    </xdr:from>
    <xdr:to>
      <xdr:col>21</xdr:col>
      <xdr:colOff>160020</xdr:colOff>
      <xdr:row>4</xdr:row>
      <xdr:rowOff>60960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958B7E6-A530-477D-A2B3-13FA0DA6815D}"/>
            </a:ext>
          </a:extLst>
        </xdr:cNvPr>
        <xdr:cNvGrpSpPr/>
      </xdr:nvGrpSpPr>
      <xdr:grpSpPr>
        <a:xfrm>
          <a:off x="862941" y="777710"/>
          <a:ext cx="12138190" cy="186361"/>
          <a:chOff x="861060" y="784860"/>
          <a:chExt cx="12100560" cy="190500"/>
        </a:xfr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2700000" scaled="1"/>
          <a:tileRect/>
        </a:gradFill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1314ED56-6FDF-AF32-83B0-6058B8DA9BA0}"/>
              </a:ext>
            </a:extLst>
          </xdr:cNvPr>
          <xdr:cNvSpPr/>
        </xdr:nvSpPr>
        <xdr:spPr>
          <a:xfrm>
            <a:off x="861060" y="784860"/>
            <a:ext cx="2324100" cy="152400"/>
          </a:xfrm>
          <a:prstGeom prst="roundRect">
            <a:avLst/>
          </a:prstGeom>
          <a:gradFill flip="none" rotWithShape="1">
            <a:gsLst>
              <a:gs pos="0">
                <a:srgbClr val="002060">
                  <a:tint val="66000"/>
                  <a:satMod val="160000"/>
                </a:srgbClr>
              </a:gs>
              <a:gs pos="50000">
                <a:srgbClr val="002060">
                  <a:tint val="44500"/>
                  <a:satMod val="160000"/>
                </a:srgbClr>
              </a:gs>
              <a:gs pos="100000">
                <a:srgbClr val="002060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D8AE79F4-6378-4E11-B5BB-738D6F7ED9F8}"/>
              </a:ext>
            </a:extLst>
          </xdr:cNvPr>
          <xdr:cNvSpPr/>
        </xdr:nvSpPr>
        <xdr:spPr>
          <a:xfrm>
            <a:off x="4152900" y="815340"/>
            <a:ext cx="2324100" cy="152400"/>
          </a:xfrm>
          <a:prstGeom prst="roundRect">
            <a:avLst/>
          </a:prstGeom>
          <a:gradFill flip="none" rotWithShape="1">
            <a:gsLst>
              <a:gs pos="0">
                <a:srgbClr val="7030A0">
                  <a:shade val="30000"/>
                  <a:satMod val="115000"/>
                </a:srgbClr>
              </a:gs>
              <a:gs pos="50000">
                <a:srgbClr val="7030A0">
                  <a:shade val="67500"/>
                  <a:satMod val="115000"/>
                </a:srgbClr>
              </a:gs>
              <a:gs pos="100000">
                <a:srgbClr val="7030A0">
                  <a:shade val="100000"/>
                  <a:satMod val="115000"/>
                </a:srgb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7D953117-0404-4D65-88D0-F8C9429C4C08}"/>
              </a:ext>
            </a:extLst>
          </xdr:cNvPr>
          <xdr:cNvSpPr/>
        </xdr:nvSpPr>
        <xdr:spPr>
          <a:xfrm>
            <a:off x="7437120" y="822960"/>
            <a:ext cx="2324100" cy="152400"/>
          </a:xfrm>
          <a:prstGeom prst="roundRect">
            <a:avLst/>
          </a:prstGeom>
          <a:gradFill flip="none" rotWithShape="1">
            <a:gsLst>
              <a:gs pos="0">
                <a:srgbClr val="00B0F0">
                  <a:shade val="30000"/>
                  <a:satMod val="115000"/>
                </a:srgbClr>
              </a:gs>
              <a:gs pos="50000">
                <a:srgbClr val="00B0F0">
                  <a:shade val="67500"/>
                  <a:satMod val="115000"/>
                </a:srgbClr>
              </a:gs>
              <a:gs pos="100000">
                <a:srgbClr val="00B0F0">
                  <a:shade val="100000"/>
                  <a:satMod val="115000"/>
                </a:srgbClr>
              </a:gs>
            </a:gsLst>
            <a:lin ang="189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2EF062F8-6968-4DB8-A66A-76C52B770558}"/>
              </a:ext>
            </a:extLst>
          </xdr:cNvPr>
          <xdr:cNvSpPr/>
        </xdr:nvSpPr>
        <xdr:spPr>
          <a:xfrm>
            <a:off x="10637520" y="822960"/>
            <a:ext cx="2324100" cy="152400"/>
          </a:xfrm>
          <a:prstGeom prst="roundRect">
            <a:avLst/>
          </a:prstGeom>
          <a:gradFill flip="none" rotWithShape="1">
            <a:gsLst>
              <a:gs pos="0">
                <a:srgbClr val="333399">
                  <a:shade val="30000"/>
                  <a:satMod val="115000"/>
                </a:srgbClr>
              </a:gs>
              <a:gs pos="50000">
                <a:srgbClr val="333399">
                  <a:shade val="67500"/>
                  <a:satMod val="115000"/>
                </a:srgbClr>
              </a:gs>
              <a:gs pos="100000">
                <a:srgbClr val="333399">
                  <a:shade val="100000"/>
                  <a:satMod val="115000"/>
                </a:srgb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1</xdr:col>
      <xdr:colOff>426720</xdr:colOff>
      <xdr:row>4</xdr:row>
      <xdr:rowOff>38100</xdr:rowOff>
    </xdr:from>
    <xdr:to>
      <xdr:col>20</xdr:col>
      <xdr:colOff>388620</xdr:colOff>
      <xdr:row>5</xdr:row>
      <xdr:rowOff>160020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FA345E2-AEB7-7F07-3340-4F8BA9169062}"/>
            </a:ext>
          </a:extLst>
        </xdr:cNvPr>
        <xdr:cNvGrpSpPr/>
      </xdr:nvGrpSpPr>
      <xdr:grpSpPr>
        <a:xfrm>
          <a:off x="1038201" y="941211"/>
          <a:ext cx="11580049" cy="300661"/>
          <a:chOff x="1036320" y="952500"/>
          <a:chExt cx="11544300" cy="3048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FF8DB89-FA33-6738-2B56-D4A1FB98CE73}"/>
              </a:ext>
            </a:extLst>
          </xdr:cNvPr>
          <xdr:cNvSpPr txBox="1"/>
        </xdr:nvSpPr>
        <xdr:spPr>
          <a:xfrm>
            <a:off x="1036320" y="952500"/>
            <a:ext cx="198882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en-IN" b="1" cap="none" spc="0">
                <a:ln/>
                <a:solidFill>
                  <a:schemeClr val="accent3"/>
                </a:solidFill>
                <a:effectLst/>
                <a:latin typeface="Arial Rounded MT Bold" panose="020F0704030504030204" pitchFamily="34" charset="0"/>
              </a:rPr>
              <a:t>TOTAL REVENUE</a:t>
            </a:r>
            <a:endParaRPr lang="en-IN" sz="1100" b="1" cap="none" spc="0">
              <a:ln/>
              <a:solidFill>
                <a:schemeClr val="accent3"/>
              </a:solidFill>
              <a:effectLst/>
              <a:latin typeface="Arial Rounded MT Bold" panose="020F0704030504030204" pitchFamily="34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AE2512A-F73F-4269-9A33-678E7296D8F6}"/>
              </a:ext>
            </a:extLst>
          </xdr:cNvPr>
          <xdr:cNvSpPr txBox="1"/>
        </xdr:nvSpPr>
        <xdr:spPr>
          <a:xfrm>
            <a:off x="4351020" y="982980"/>
            <a:ext cx="1988820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en-IN" b="1" cap="none" spc="0">
                <a:ln/>
                <a:solidFill>
                  <a:schemeClr val="accent3"/>
                </a:solidFill>
                <a:effectLst/>
                <a:latin typeface="Arial Rounded MT Bold" panose="020F0704030504030204" pitchFamily="34" charset="0"/>
              </a:rPr>
              <a:t>AVERAGE ORDER VALUE</a:t>
            </a:r>
            <a:endParaRPr lang="en-IN" sz="1100" b="1" cap="none" spc="0">
              <a:ln/>
              <a:solidFill>
                <a:schemeClr val="accent3"/>
              </a:solidFill>
              <a:effectLst/>
              <a:latin typeface="Arial Rounded MT Bold" panose="020F0704030504030204" pitchFamily="34" charset="0"/>
            </a:endParaRPr>
          </a:p>
        </xdr:txBody>
      </xdr:sp>
      <xdr:sp macro="" textlink="">
        <xdr:nvSpPr>
          <xdr:cNvPr id="7169" name="Text Box 1">
            <a:extLst>
              <a:ext uri="{FF2B5EF4-FFF2-40B4-BE49-F238E27FC236}">
                <a16:creationId xmlns:a16="http://schemas.microsoft.com/office/drawing/2014/main" id="{9CD48CD2-33CA-6982-19B2-83511D2902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42860" y="982980"/>
            <a:ext cx="1996440" cy="2743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ctr" upright="1"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 rtl="0">
              <a:defRPr sz="1000"/>
            </a:pPr>
            <a:r>
              <a:rPr lang="en-IN" sz="1100" b="1" cap="none" spc="0">
                <a:ln/>
                <a:solidFill>
                  <a:schemeClr val="accent3"/>
                </a:solidFill>
                <a:effectLst/>
                <a:latin typeface="Arial Rounded MT Bold" panose="020F0704030504030204" pitchFamily="34" charset="0"/>
              </a:rPr>
              <a:t>TOTAL ORDERS</a:t>
            </a:r>
            <a:endParaRPr lang="en-IN" sz="1100" b="1" i="0" u="none" strike="noStrike" cap="none" spc="0" baseline="0">
              <a:ln/>
              <a:solidFill>
                <a:schemeClr val="accent3"/>
              </a:solidFill>
              <a:effectLst/>
              <a:latin typeface="Arial Rounded MT Bold" panose="020F0704030504030204" pitchFamily="34" charset="0"/>
              <a:ea typeface="Calibri"/>
              <a:cs typeface="Calibri"/>
            </a:endParaRPr>
          </a:p>
        </xdr:txBody>
      </xdr:sp>
      <xdr:sp macro="" textlink="">
        <xdr:nvSpPr>
          <xdr:cNvPr id="7170" name="Text Box 2">
            <a:extLst>
              <a:ext uri="{FF2B5EF4-FFF2-40B4-BE49-F238E27FC236}">
                <a16:creationId xmlns:a16="http://schemas.microsoft.com/office/drawing/2014/main" id="{060B59C9-07FD-AE8F-D1FA-8F6E4A4E67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02340" y="1013460"/>
            <a:ext cx="1478280" cy="1752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ctr" upright="1"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 rtl="0">
              <a:defRPr sz="1000"/>
            </a:pPr>
            <a:r>
              <a:rPr lang="en-IN" sz="1100" b="1" cap="none" spc="0">
                <a:ln/>
                <a:solidFill>
                  <a:schemeClr val="accent3"/>
                </a:solidFill>
                <a:effectLst/>
                <a:latin typeface="Arial Rounded MT Bold" panose="020F0704030504030204" pitchFamily="34" charset="0"/>
              </a:rPr>
              <a:t>MEDIAN ORDER VALUE</a:t>
            </a:r>
            <a:endParaRPr lang="en-IN" sz="1100" b="1" i="0" u="none" strike="noStrike" cap="none" spc="0" baseline="0">
              <a:ln/>
              <a:solidFill>
                <a:schemeClr val="accent3"/>
              </a:solidFill>
              <a:effectLst/>
              <a:latin typeface="Arial Rounded MT Bold" panose="020F0704030504030204" pitchFamily="34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</xdr:col>
      <xdr:colOff>373380</xdr:colOff>
      <xdr:row>5</xdr:row>
      <xdr:rowOff>99060</xdr:rowOff>
    </xdr:from>
    <xdr:to>
      <xdr:col>5</xdr:col>
      <xdr:colOff>15240</xdr:colOff>
      <xdr:row>6</xdr:row>
      <xdr:rowOff>106680</xdr:rowOff>
    </xdr:to>
    <xdr:sp macro="" textlink="Calculations!I124">
      <xdr:nvSpPr>
        <xdr:cNvPr id="15" name="TextBox 14">
          <a:extLst>
            <a:ext uri="{FF2B5EF4-FFF2-40B4-BE49-F238E27FC236}">
              <a16:creationId xmlns:a16="http://schemas.microsoft.com/office/drawing/2014/main" id="{3EBAC3FD-8C52-D241-8055-00AAEDF51A60}"/>
            </a:ext>
          </a:extLst>
        </xdr:cNvPr>
        <xdr:cNvSpPr txBox="1"/>
      </xdr:nvSpPr>
      <xdr:spPr>
        <a:xfrm>
          <a:off x="984861" y="1180912"/>
          <a:ext cx="2087786" cy="186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E0099F-8F81-4EC7-9366-F660738579F9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106832.85</a:t>
          </a:fld>
          <a:endParaRPr lang="en-IN" sz="2000" b="1"/>
        </a:p>
      </xdr:txBody>
    </xdr:sp>
    <xdr:clientData/>
  </xdr:twoCellAnchor>
  <xdr:twoCellAnchor>
    <xdr:from>
      <xdr:col>6</xdr:col>
      <xdr:colOff>495300</xdr:colOff>
      <xdr:row>5</xdr:row>
      <xdr:rowOff>152400</xdr:rowOff>
    </xdr:from>
    <xdr:to>
      <xdr:col>10</xdr:col>
      <xdr:colOff>525780</xdr:colOff>
      <xdr:row>6</xdr:row>
      <xdr:rowOff>152400</xdr:rowOff>
    </xdr:to>
    <xdr:sp macro="" textlink="Calculations!J124">
      <xdr:nvSpPr>
        <xdr:cNvPr id="16" name="TextBox 15">
          <a:extLst>
            <a:ext uri="{FF2B5EF4-FFF2-40B4-BE49-F238E27FC236}">
              <a16:creationId xmlns:a16="http://schemas.microsoft.com/office/drawing/2014/main" id="{E2013269-6F1F-239A-74D3-AC25107B12AE}"/>
            </a:ext>
          </a:extLst>
        </xdr:cNvPr>
        <xdr:cNvSpPr txBox="1"/>
      </xdr:nvSpPr>
      <xdr:spPr>
        <a:xfrm>
          <a:off x="4164189" y="1234252"/>
          <a:ext cx="2476406" cy="178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F207734-5A51-459E-BA7F-7D4BC954351E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890.3</a:t>
          </a:fld>
          <a:endParaRPr lang="en-IN" sz="2000" b="1"/>
        </a:p>
      </xdr:txBody>
    </xdr:sp>
    <xdr:clientData/>
  </xdr:twoCellAnchor>
  <xdr:twoCellAnchor>
    <xdr:from>
      <xdr:col>12</xdr:col>
      <xdr:colOff>68580</xdr:colOff>
      <xdr:row>5</xdr:row>
      <xdr:rowOff>167640</xdr:rowOff>
    </xdr:from>
    <xdr:to>
      <xdr:col>16</xdr:col>
      <xdr:colOff>99060</xdr:colOff>
      <xdr:row>6</xdr:row>
      <xdr:rowOff>167640</xdr:rowOff>
    </xdr:to>
    <xdr:sp macro="" textlink="Calculations!L124">
      <xdr:nvSpPr>
        <xdr:cNvPr id="17" name="TextBox 16">
          <a:extLst>
            <a:ext uri="{FF2B5EF4-FFF2-40B4-BE49-F238E27FC236}">
              <a16:creationId xmlns:a16="http://schemas.microsoft.com/office/drawing/2014/main" id="{59714F50-B975-4D58-B6F0-619C08493A40}"/>
            </a:ext>
          </a:extLst>
        </xdr:cNvPr>
        <xdr:cNvSpPr txBox="1"/>
      </xdr:nvSpPr>
      <xdr:spPr>
        <a:xfrm>
          <a:off x="7406358" y="1249492"/>
          <a:ext cx="2476406" cy="178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88391F2-52B6-42D1-9050-2DDBBD26DE26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120</a:t>
          </a:fld>
          <a:endParaRPr lang="en-IN" sz="2000" b="1"/>
        </a:p>
      </xdr:txBody>
    </xdr:sp>
    <xdr:clientData/>
  </xdr:twoCellAnchor>
  <xdr:twoCellAnchor>
    <xdr:from>
      <xdr:col>17</xdr:col>
      <xdr:colOff>213360</xdr:colOff>
      <xdr:row>5</xdr:row>
      <xdr:rowOff>175260</xdr:rowOff>
    </xdr:from>
    <xdr:to>
      <xdr:col>21</xdr:col>
      <xdr:colOff>243840</xdr:colOff>
      <xdr:row>6</xdr:row>
      <xdr:rowOff>175260</xdr:rowOff>
    </xdr:to>
    <xdr:sp macro="" textlink="Calculations!M124">
      <xdr:nvSpPr>
        <xdr:cNvPr id="18" name="TextBox 17">
          <a:extLst>
            <a:ext uri="{FF2B5EF4-FFF2-40B4-BE49-F238E27FC236}">
              <a16:creationId xmlns:a16="http://schemas.microsoft.com/office/drawing/2014/main" id="{1CC524F7-D468-4270-A12D-EF397505E3BB}"/>
            </a:ext>
          </a:extLst>
        </xdr:cNvPr>
        <xdr:cNvSpPr txBox="1"/>
      </xdr:nvSpPr>
      <xdr:spPr>
        <a:xfrm>
          <a:off x="10608545" y="1257112"/>
          <a:ext cx="2476406" cy="178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217FFAA-5EC4-492A-BC30-33E07725F33D}" type="TxLink">
            <a:rPr lang="en-US" sz="2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473.335</a:t>
          </a:fld>
          <a:endParaRPr lang="en-IN" sz="2000" b="1"/>
        </a:p>
      </xdr:txBody>
    </xdr:sp>
    <xdr:clientData/>
  </xdr:twoCellAnchor>
  <xdr:twoCellAnchor>
    <xdr:from>
      <xdr:col>0</xdr:col>
      <xdr:colOff>579121</xdr:colOff>
      <xdr:row>10</xdr:row>
      <xdr:rowOff>22860</xdr:rowOff>
    </xdr:from>
    <xdr:to>
      <xdr:col>11</xdr:col>
      <xdr:colOff>479778</xdr:colOff>
      <xdr:row>26</xdr:row>
      <xdr:rowOff>159926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6F11AB1F-B323-4AE3-54EF-12766416B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491280</xdr:colOff>
      <xdr:row>10</xdr:row>
      <xdr:rowOff>21704</xdr:rowOff>
    </xdr:from>
    <xdr:to>
      <xdr:col>21</xdr:col>
      <xdr:colOff>338667</xdr:colOff>
      <xdr:row>26</xdr:row>
      <xdr:rowOff>150519</xdr:rowOff>
    </xdr:to>
    <xdr:graphicFrame macro="">
      <xdr:nvGraphicFramePr>
        <xdr:cNvPr id="20" name="Chart 2">
          <a:extLst>
            <a:ext uri="{FF2B5EF4-FFF2-40B4-BE49-F238E27FC236}">
              <a16:creationId xmlns:a16="http://schemas.microsoft.com/office/drawing/2014/main" id="{C1874A8C-1224-8B93-68DE-C38808D51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574152</xdr:colOff>
      <xdr:row>26</xdr:row>
      <xdr:rowOff>157739</xdr:rowOff>
    </xdr:from>
    <xdr:to>
      <xdr:col>11</xdr:col>
      <xdr:colOff>487404</xdr:colOff>
      <xdr:row>47</xdr:row>
      <xdr:rowOff>152563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 1">
              <a:extLst>
                <a:ext uri="{FF2B5EF4-FFF2-40B4-BE49-F238E27FC236}">
                  <a16:creationId xmlns:a16="http://schemas.microsoft.com/office/drawing/2014/main" id="{FAF261A8-BBB3-CE33-771A-F9A55ED421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152" y="4993146"/>
              <a:ext cx="6639548" cy="3748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mi Khairnar" refreshedDate="46281.537718171297" createdVersion="8" refreshedVersion="8" minRefreshableVersion="3" recordCount="120" xr:uid="{85984D74-79FC-423E-AA79-28A2258E9FC2}">
  <cacheSource type="worksheet">
    <worksheetSource ref="A1:O121" sheet="Calculations"/>
  </cacheSource>
  <cacheFields count="15">
    <cacheField name="OrderID" numFmtId="0">
      <sharedItems/>
    </cacheField>
    <cacheField name="OrderDate" numFmtId="14">
      <sharedItems containsSemiMixedTypes="0" containsNonDate="0" containsDate="1" containsString="0" minDate="2024-01-05T00:00:00" maxDate="2024-12-24T00:00:00"/>
    </cacheField>
    <cacheField name="CustomerSegment" numFmtId="0">
      <sharedItems count="3">
        <s v="Consumer"/>
        <s v="Corporate"/>
        <s v="Small Business"/>
      </sharedItems>
    </cacheField>
    <cacheField name="Region" numFmtId="0">
      <sharedItems count="5">
        <s v="North"/>
        <s v="West"/>
        <s v="Central"/>
        <s v="East"/>
        <s v="South"/>
      </sharedItems>
    </cacheField>
    <cacheField name="ProductCategory" numFmtId="0">
      <sharedItems count="5">
        <s v="Furniture"/>
        <s v="Electronics"/>
        <s v="Apparel"/>
        <s v="Home &amp; Kitchen"/>
        <s v="Office Supplies"/>
      </sharedItems>
    </cacheField>
    <cacheField name="Quantity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minValue="8.19" maxValue="887.88"/>
    </cacheField>
    <cacheField name="DiscountPercent" numFmtId="0">
      <sharedItems containsSemiMixedTypes="0" containsString="0" containsNumber="1" containsInteger="1" minValue="0" maxValue="20"/>
    </cacheField>
    <cacheField name="OrderValue" numFmtId="0">
      <sharedItems containsSemiMixedTypes="0" containsString="0" containsNumber="1" minValue="13.1" maxValue="5341.32"/>
    </cacheField>
    <cacheField name="ShippingCost" numFmtId="0">
      <sharedItems containsSemiMixedTypes="0" containsString="0" containsNumber="1" minValue="2.06" maxValue="24.92"/>
    </cacheField>
    <cacheField name="PaymentMethod" numFmtId="0">
      <sharedItems count="5">
        <s v="Cash on Delivery"/>
        <s v="Credit Card"/>
        <s v="Debit Card"/>
        <s v="UPI"/>
        <s v="Net Banking"/>
      </sharedItems>
    </cacheField>
    <cacheField name="Revenue_Per_Unit" numFmtId="0">
      <sharedItems containsSemiMixedTypes="0" containsString="0" containsNumber="1" minValue="7.14" maxValue="844.04"/>
    </cacheField>
    <cacheField name="Net_Margin_Proxy" numFmtId="0">
      <sharedItems containsSemiMixedTypes="0" containsString="0" containsNumber="1" minValue="-11.53" maxValue="5336.45"/>
    </cacheField>
    <cacheField name="Month" numFmtId="0">
      <sharedItems/>
    </cacheField>
    <cacheField name="Discount_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1001"/>
    <d v="2024-11-23T00:00:00"/>
    <x v="0"/>
    <x v="0"/>
    <x v="0"/>
    <n v="3"/>
    <n v="280.81"/>
    <n v="15"/>
    <n v="716.07"/>
    <n v="4.3600000000000003"/>
    <x v="0"/>
    <n v="238.69"/>
    <n v="711.71"/>
    <s v="Nov"/>
    <s v="15%"/>
  </r>
  <r>
    <s v="ORD-1002"/>
    <d v="2024-02-14T00:00:00"/>
    <x v="1"/>
    <x v="1"/>
    <x v="1"/>
    <n v="4"/>
    <n v="63.41"/>
    <n v="0"/>
    <n v="253.64"/>
    <n v="13.62"/>
    <x v="1"/>
    <n v="63.41"/>
    <n v="240.02"/>
    <s v="Feb"/>
    <s v="0%"/>
  </r>
  <r>
    <s v="ORD-1003"/>
    <d v="2024-10-14T00:00:00"/>
    <x v="0"/>
    <x v="2"/>
    <x v="2"/>
    <n v="5"/>
    <n v="44.76"/>
    <n v="20"/>
    <n v="179.04"/>
    <n v="21.99"/>
    <x v="2"/>
    <n v="35.81"/>
    <n v="157.05000000000001"/>
    <s v="Oct"/>
    <s v="20%"/>
  </r>
  <r>
    <s v="ORD-1004"/>
    <d v="2024-12-23T00:00:00"/>
    <x v="2"/>
    <x v="3"/>
    <x v="0"/>
    <n v="6"/>
    <n v="207.49"/>
    <n v="0"/>
    <n v="1244.94"/>
    <n v="4.13"/>
    <x v="1"/>
    <n v="207.49"/>
    <n v="1240.81"/>
    <s v="Dec"/>
    <s v="0%"/>
  </r>
  <r>
    <s v="ORD-1005"/>
    <d v="2024-07-02T00:00:00"/>
    <x v="2"/>
    <x v="2"/>
    <x v="0"/>
    <n v="8"/>
    <n v="741.85"/>
    <n v="10"/>
    <n v="5341.32"/>
    <n v="4.87"/>
    <x v="3"/>
    <n v="667.67"/>
    <n v="5336.45"/>
    <s v="Jul"/>
    <s v="10%"/>
  </r>
  <r>
    <s v="ORD-1006"/>
    <d v="2024-02-10T00:00:00"/>
    <x v="1"/>
    <x v="3"/>
    <x v="3"/>
    <n v="6"/>
    <n v="267.93"/>
    <n v="10"/>
    <n v="1446.82"/>
    <n v="6.42"/>
    <x v="1"/>
    <n v="241.14"/>
    <n v="1440.4"/>
    <s v="Feb"/>
    <s v="10%"/>
  </r>
  <r>
    <s v="ORD-1007"/>
    <d v="2024-01-24T00:00:00"/>
    <x v="1"/>
    <x v="4"/>
    <x v="0"/>
    <n v="4"/>
    <n v="887.88"/>
    <n v="20"/>
    <n v="2841.22"/>
    <n v="4.32"/>
    <x v="4"/>
    <n v="710.31"/>
    <n v="2836.9"/>
    <s v="Jan"/>
    <s v="20%"/>
  </r>
  <r>
    <s v="ORD-1008"/>
    <d v="2024-08-20T00:00:00"/>
    <x v="1"/>
    <x v="3"/>
    <x v="4"/>
    <n v="4"/>
    <n v="25.36"/>
    <n v="15"/>
    <n v="86.22"/>
    <n v="8.14"/>
    <x v="1"/>
    <n v="21.56"/>
    <n v="78.08"/>
    <s v="Aug"/>
    <s v="15%"/>
  </r>
  <r>
    <s v="ORD-1009"/>
    <d v="2024-11-07T00:00:00"/>
    <x v="1"/>
    <x v="4"/>
    <x v="3"/>
    <n v="3"/>
    <n v="224.16"/>
    <n v="5"/>
    <n v="638.86"/>
    <n v="10.73"/>
    <x v="0"/>
    <n v="212.95"/>
    <n v="628.13"/>
    <s v="Nov"/>
    <s v="5%"/>
  </r>
  <r>
    <s v="ORD-1010"/>
    <d v="2024-04-22T00:00:00"/>
    <x v="1"/>
    <x v="3"/>
    <x v="1"/>
    <n v="1"/>
    <n v="153.07"/>
    <n v="20"/>
    <n v="122.46"/>
    <n v="9.26"/>
    <x v="4"/>
    <n v="122.46"/>
    <n v="113.2"/>
    <s v="Apr"/>
    <s v="20%"/>
  </r>
  <r>
    <s v="ORD-1011"/>
    <d v="2024-02-03T00:00:00"/>
    <x v="0"/>
    <x v="2"/>
    <x v="0"/>
    <n v="8"/>
    <n v="254.35"/>
    <n v="5"/>
    <n v="1933.06"/>
    <n v="22.35"/>
    <x v="3"/>
    <n v="241.63"/>
    <n v="1910.71"/>
    <s v="Feb"/>
    <s v="5%"/>
  </r>
  <r>
    <s v="ORD-1012"/>
    <d v="2024-03-14T00:00:00"/>
    <x v="2"/>
    <x v="4"/>
    <x v="4"/>
    <n v="5"/>
    <n v="45.97"/>
    <n v="15"/>
    <n v="195.37"/>
    <n v="15.45"/>
    <x v="0"/>
    <n v="39.07"/>
    <n v="179.92"/>
    <s v="Mar"/>
    <s v="15%"/>
  </r>
  <r>
    <s v="ORD-1013"/>
    <d v="2024-07-23T00:00:00"/>
    <x v="2"/>
    <x v="4"/>
    <x v="4"/>
    <n v="2"/>
    <n v="33.020000000000003"/>
    <n v="20"/>
    <n v="52.83"/>
    <n v="3.08"/>
    <x v="1"/>
    <n v="26.42"/>
    <n v="49.75"/>
    <s v="Jul"/>
    <s v="20%"/>
  </r>
  <r>
    <s v="ORD-1014"/>
    <d v="2024-03-19T00:00:00"/>
    <x v="1"/>
    <x v="4"/>
    <x v="2"/>
    <n v="7"/>
    <n v="95.52"/>
    <n v="5"/>
    <n v="635.21"/>
    <n v="15.71"/>
    <x v="3"/>
    <n v="90.74"/>
    <n v="619.5"/>
    <s v="Mar"/>
    <s v="5%"/>
  </r>
  <r>
    <s v="ORD-1015"/>
    <d v="2024-09-27T00:00:00"/>
    <x v="2"/>
    <x v="2"/>
    <x v="1"/>
    <n v="2"/>
    <n v="356.13"/>
    <n v="15"/>
    <n v="605.41999999999996"/>
    <n v="22.35"/>
    <x v="4"/>
    <n v="302.70999999999998"/>
    <n v="583.07000000000005"/>
    <s v="Sep"/>
    <s v="15%"/>
  </r>
  <r>
    <s v="ORD-1016"/>
    <d v="2024-11-24T00:00:00"/>
    <x v="2"/>
    <x v="0"/>
    <x v="0"/>
    <n v="8"/>
    <n v="436.51"/>
    <n v="0"/>
    <n v="3492.08"/>
    <n v="23.94"/>
    <x v="4"/>
    <n v="436.51"/>
    <n v="3468.14"/>
    <s v="Nov"/>
    <s v="0%"/>
  </r>
  <r>
    <s v="ORD-1017"/>
    <d v="2024-09-13T00:00:00"/>
    <x v="0"/>
    <x v="2"/>
    <x v="1"/>
    <n v="5"/>
    <n v="441.73"/>
    <n v="20"/>
    <n v="1766.92"/>
    <n v="16.7"/>
    <x v="0"/>
    <n v="353.38"/>
    <n v="1750.22"/>
    <s v="Sep"/>
    <s v="20%"/>
  </r>
  <r>
    <s v="ORD-1018"/>
    <d v="2024-04-11T00:00:00"/>
    <x v="0"/>
    <x v="3"/>
    <x v="4"/>
    <n v="1"/>
    <n v="34.67"/>
    <n v="10"/>
    <n v="31.2"/>
    <n v="9.4600000000000009"/>
    <x v="1"/>
    <n v="31.2"/>
    <n v="21.74"/>
    <s v="Apr"/>
    <s v="10%"/>
  </r>
  <r>
    <s v="ORD-1019"/>
    <d v="2024-02-27T00:00:00"/>
    <x v="2"/>
    <x v="3"/>
    <x v="4"/>
    <n v="2"/>
    <n v="8.19"/>
    <n v="0"/>
    <n v="16.38"/>
    <n v="18.829999999999998"/>
    <x v="1"/>
    <n v="8.19"/>
    <n v="-2.4500000000000002"/>
    <s v="Feb"/>
    <s v="0%"/>
  </r>
  <r>
    <s v="ORD-1020"/>
    <d v="2024-09-29T00:00:00"/>
    <x v="0"/>
    <x v="4"/>
    <x v="2"/>
    <n v="3"/>
    <n v="142.82"/>
    <n v="0"/>
    <n v="428.46"/>
    <n v="14.14"/>
    <x v="0"/>
    <n v="142.82"/>
    <n v="414.32"/>
    <s v="Sep"/>
    <s v="0%"/>
  </r>
  <r>
    <s v="ORD-1021"/>
    <d v="2024-08-04T00:00:00"/>
    <x v="0"/>
    <x v="2"/>
    <x v="4"/>
    <n v="7"/>
    <n v="44.21"/>
    <n v="15"/>
    <n v="263.05"/>
    <n v="16.95"/>
    <x v="3"/>
    <n v="37.58"/>
    <n v="246.1"/>
    <s v="Aug"/>
    <s v="15%"/>
  </r>
  <r>
    <s v="ORD-1022"/>
    <d v="2024-09-21T00:00:00"/>
    <x v="2"/>
    <x v="0"/>
    <x v="4"/>
    <n v="6"/>
    <n v="17.36"/>
    <n v="0"/>
    <n v="104.16"/>
    <n v="15.53"/>
    <x v="2"/>
    <n v="17.36"/>
    <n v="88.63"/>
    <s v="Sep"/>
    <s v="0%"/>
  </r>
  <r>
    <s v="ORD-1023"/>
    <d v="2024-10-28T00:00:00"/>
    <x v="0"/>
    <x v="0"/>
    <x v="1"/>
    <n v="1"/>
    <n v="368.53"/>
    <n v="0"/>
    <n v="368.53"/>
    <n v="3.55"/>
    <x v="1"/>
    <n v="368.53"/>
    <n v="364.98"/>
    <s v="Oct"/>
    <s v="0%"/>
  </r>
  <r>
    <s v="ORD-1024"/>
    <d v="2024-06-18T00:00:00"/>
    <x v="0"/>
    <x v="2"/>
    <x v="4"/>
    <n v="8"/>
    <n v="20.32"/>
    <n v="0"/>
    <n v="162.56"/>
    <n v="14.4"/>
    <x v="0"/>
    <n v="20.32"/>
    <n v="148.16"/>
    <s v="Jun"/>
    <s v="0%"/>
  </r>
  <r>
    <s v="ORD-1025"/>
    <d v="2024-10-22T00:00:00"/>
    <x v="2"/>
    <x v="4"/>
    <x v="2"/>
    <n v="4"/>
    <n v="124.01"/>
    <n v="0"/>
    <n v="496.04"/>
    <n v="4.2300000000000004"/>
    <x v="3"/>
    <n v="124.01"/>
    <n v="491.81"/>
    <s v="Oct"/>
    <s v="0%"/>
  </r>
  <r>
    <s v="ORD-1026"/>
    <d v="2024-06-30T00:00:00"/>
    <x v="2"/>
    <x v="1"/>
    <x v="2"/>
    <n v="1"/>
    <n v="131.62"/>
    <n v="15"/>
    <n v="111.88"/>
    <n v="17.03"/>
    <x v="1"/>
    <n v="111.88"/>
    <n v="94.85"/>
    <s v="Jun"/>
    <s v="15%"/>
  </r>
  <r>
    <s v="ORD-1027"/>
    <d v="2024-02-01T00:00:00"/>
    <x v="2"/>
    <x v="3"/>
    <x v="1"/>
    <n v="4"/>
    <n v="161.9"/>
    <n v="10"/>
    <n v="582.84"/>
    <n v="12.32"/>
    <x v="3"/>
    <n v="145.71"/>
    <n v="570.52"/>
    <s v="Feb"/>
    <s v="10%"/>
  </r>
  <r>
    <s v="ORD-1028"/>
    <d v="2024-04-03T00:00:00"/>
    <x v="2"/>
    <x v="1"/>
    <x v="4"/>
    <n v="2"/>
    <n v="53.1"/>
    <n v="5"/>
    <n v="100.89"/>
    <n v="20.58"/>
    <x v="0"/>
    <n v="50.45"/>
    <n v="80.31"/>
    <s v="Apr"/>
    <s v="5%"/>
  </r>
  <r>
    <s v="ORD-1029"/>
    <d v="2024-02-20T00:00:00"/>
    <x v="0"/>
    <x v="2"/>
    <x v="1"/>
    <n v="4"/>
    <n v="486.05"/>
    <n v="0"/>
    <n v="1944.2"/>
    <n v="11.35"/>
    <x v="3"/>
    <n v="486.05"/>
    <n v="1932.85"/>
    <s v="Feb"/>
    <s v="0%"/>
  </r>
  <r>
    <s v="ORD-1030"/>
    <d v="2024-04-19T00:00:00"/>
    <x v="2"/>
    <x v="0"/>
    <x v="4"/>
    <n v="7"/>
    <n v="25.84"/>
    <n v="0"/>
    <n v="180.88"/>
    <n v="23.31"/>
    <x v="3"/>
    <n v="25.84"/>
    <n v="157.57"/>
    <s v="Apr"/>
    <s v="0%"/>
  </r>
  <r>
    <s v="ORD-1031"/>
    <d v="2024-05-26T00:00:00"/>
    <x v="2"/>
    <x v="2"/>
    <x v="2"/>
    <n v="5"/>
    <n v="35.9"/>
    <n v="0"/>
    <n v="179.5"/>
    <n v="24.28"/>
    <x v="0"/>
    <n v="35.9"/>
    <n v="155.22"/>
    <s v="May"/>
    <s v="0%"/>
  </r>
  <r>
    <s v="ORD-1032"/>
    <d v="2024-10-04T00:00:00"/>
    <x v="0"/>
    <x v="3"/>
    <x v="1"/>
    <n v="8"/>
    <n v="72.56"/>
    <n v="10"/>
    <n v="522.42999999999995"/>
    <n v="23.15"/>
    <x v="0"/>
    <n v="65.3"/>
    <n v="499.28"/>
    <s v="Oct"/>
    <s v="10%"/>
  </r>
  <r>
    <s v="ORD-1033"/>
    <d v="2024-03-21T00:00:00"/>
    <x v="0"/>
    <x v="2"/>
    <x v="1"/>
    <n v="2"/>
    <n v="433.1"/>
    <n v="10"/>
    <n v="779.58"/>
    <n v="3.56"/>
    <x v="2"/>
    <n v="389.79"/>
    <n v="776.02"/>
    <s v="Mar"/>
    <s v="10%"/>
  </r>
  <r>
    <s v="ORD-1034"/>
    <d v="2024-07-25T00:00:00"/>
    <x v="0"/>
    <x v="2"/>
    <x v="4"/>
    <n v="1"/>
    <n v="36.840000000000003"/>
    <n v="10"/>
    <n v="33.159999999999997"/>
    <n v="3.89"/>
    <x v="0"/>
    <n v="33.159999999999997"/>
    <n v="29.27"/>
    <s v="Jul"/>
    <s v="10%"/>
  </r>
  <r>
    <s v="ORD-1035"/>
    <d v="2024-10-16T00:00:00"/>
    <x v="1"/>
    <x v="3"/>
    <x v="0"/>
    <n v="6"/>
    <n v="247.49"/>
    <n v="0"/>
    <n v="1484.94"/>
    <n v="8.11"/>
    <x v="2"/>
    <n v="247.49"/>
    <n v="1476.83"/>
    <s v="Oct"/>
    <s v="0%"/>
  </r>
  <r>
    <s v="ORD-1036"/>
    <d v="2024-12-09T00:00:00"/>
    <x v="1"/>
    <x v="3"/>
    <x v="2"/>
    <n v="2"/>
    <n v="57.68"/>
    <n v="0"/>
    <n v="115.36"/>
    <n v="12.54"/>
    <x v="0"/>
    <n v="57.68"/>
    <n v="102.82"/>
    <s v="Dec"/>
    <s v="0%"/>
  </r>
  <r>
    <s v="ORD-1037"/>
    <d v="2024-02-21T00:00:00"/>
    <x v="0"/>
    <x v="2"/>
    <x v="4"/>
    <n v="3"/>
    <n v="32.82"/>
    <n v="0"/>
    <n v="98.46"/>
    <n v="22.26"/>
    <x v="2"/>
    <n v="32.82"/>
    <n v="76.2"/>
    <s v="Feb"/>
    <s v="0%"/>
  </r>
  <r>
    <s v="ORD-1038"/>
    <d v="2024-07-08T00:00:00"/>
    <x v="2"/>
    <x v="4"/>
    <x v="2"/>
    <n v="5"/>
    <n v="127.56"/>
    <n v="10"/>
    <n v="574.02"/>
    <n v="24.63"/>
    <x v="0"/>
    <n v="114.8"/>
    <n v="549.39"/>
    <s v="Jul"/>
    <s v="10%"/>
  </r>
  <r>
    <s v="ORD-1039"/>
    <d v="2024-01-05T00:00:00"/>
    <x v="1"/>
    <x v="2"/>
    <x v="0"/>
    <n v="2"/>
    <n v="844.04"/>
    <n v="0"/>
    <n v="1688.08"/>
    <n v="8.08"/>
    <x v="1"/>
    <n v="844.04"/>
    <n v="1680"/>
    <s v="Jan"/>
    <s v="0%"/>
  </r>
  <r>
    <s v="ORD-1040"/>
    <d v="2024-10-10T00:00:00"/>
    <x v="0"/>
    <x v="3"/>
    <x v="0"/>
    <n v="6"/>
    <n v="575.96"/>
    <n v="0"/>
    <n v="3455.76"/>
    <n v="17.809999999999999"/>
    <x v="4"/>
    <n v="575.96"/>
    <n v="3437.95"/>
    <s v="Oct"/>
    <s v="0%"/>
  </r>
  <r>
    <s v="ORD-1041"/>
    <d v="2024-09-15T00:00:00"/>
    <x v="2"/>
    <x v="3"/>
    <x v="1"/>
    <n v="7"/>
    <n v="91.53"/>
    <n v="20"/>
    <n v="512.57000000000005"/>
    <n v="8.36"/>
    <x v="1"/>
    <n v="73.22"/>
    <n v="504.21"/>
    <s v="Sep"/>
    <s v="20%"/>
  </r>
  <r>
    <s v="ORD-1042"/>
    <d v="2024-06-19T00:00:00"/>
    <x v="0"/>
    <x v="3"/>
    <x v="4"/>
    <n v="7"/>
    <n v="45.77"/>
    <n v="10"/>
    <n v="288.35000000000002"/>
    <n v="2.2200000000000002"/>
    <x v="1"/>
    <n v="41.19"/>
    <n v="286.13"/>
    <s v="Jun"/>
    <s v="10%"/>
  </r>
  <r>
    <s v="ORD-1043"/>
    <d v="2024-12-19T00:00:00"/>
    <x v="0"/>
    <x v="2"/>
    <x v="1"/>
    <n v="3"/>
    <n v="425.57"/>
    <n v="5"/>
    <n v="1212.8699999999999"/>
    <n v="4.93"/>
    <x v="4"/>
    <n v="404.29"/>
    <n v="1207.94"/>
    <s v="Dec"/>
    <s v="5%"/>
  </r>
  <r>
    <s v="ORD-1044"/>
    <d v="2024-07-05T00:00:00"/>
    <x v="0"/>
    <x v="3"/>
    <x v="4"/>
    <n v="2"/>
    <n v="42.51"/>
    <n v="0"/>
    <n v="85.02"/>
    <n v="19.940000000000001"/>
    <x v="3"/>
    <n v="42.51"/>
    <n v="65.08"/>
    <s v="Jul"/>
    <s v="0%"/>
  </r>
  <r>
    <s v="ORD-1045"/>
    <d v="2024-11-13T00:00:00"/>
    <x v="1"/>
    <x v="4"/>
    <x v="4"/>
    <n v="3"/>
    <n v="52.55"/>
    <n v="5"/>
    <n v="149.77000000000001"/>
    <n v="2.57"/>
    <x v="4"/>
    <n v="49.92"/>
    <n v="147.19999999999999"/>
    <s v="Nov"/>
    <s v="5%"/>
  </r>
  <r>
    <s v="ORD-1046"/>
    <d v="2024-07-29T00:00:00"/>
    <x v="1"/>
    <x v="4"/>
    <x v="0"/>
    <n v="2"/>
    <n v="210.54"/>
    <n v="5"/>
    <n v="400.03"/>
    <n v="22.06"/>
    <x v="3"/>
    <n v="200.02"/>
    <n v="377.97"/>
    <s v="Jul"/>
    <s v="5%"/>
  </r>
  <r>
    <s v="ORD-1047"/>
    <d v="2024-04-23T00:00:00"/>
    <x v="0"/>
    <x v="1"/>
    <x v="0"/>
    <n v="4"/>
    <n v="330.26"/>
    <n v="0"/>
    <n v="1321.04"/>
    <n v="2.54"/>
    <x v="2"/>
    <n v="330.26"/>
    <n v="1318.5"/>
    <s v="Apr"/>
    <s v="0%"/>
  </r>
  <r>
    <s v="ORD-1048"/>
    <d v="2024-07-23T00:00:00"/>
    <x v="2"/>
    <x v="3"/>
    <x v="1"/>
    <n v="5"/>
    <n v="485.1"/>
    <n v="0"/>
    <n v="2425.5"/>
    <n v="16.75"/>
    <x v="3"/>
    <n v="485.1"/>
    <n v="2408.75"/>
    <s v="Jul"/>
    <s v="0%"/>
  </r>
  <r>
    <s v="ORD-1049"/>
    <d v="2024-12-13T00:00:00"/>
    <x v="1"/>
    <x v="3"/>
    <x v="1"/>
    <n v="5"/>
    <n v="101.9"/>
    <n v="0"/>
    <n v="509.5"/>
    <n v="15.35"/>
    <x v="4"/>
    <n v="101.9"/>
    <n v="494.15"/>
    <s v="Dec"/>
    <s v="0%"/>
  </r>
  <r>
    <s v="ORD-1050"/>
    <d v="2024-01-20T00:00:00"/>
    <x v="0"/>
    <x v="2"/>
    <x v="2"/>
    <n v="6"/>
    <n v="61.67"/>
    <n v="5"/>
    <n v="351.52"/>
    <n v="15.94"/>
    <x v="0"/>
    <n v="58.59"/>
    <n v="335.58"/>
    <s v="Jan"/>
    <s v="5%"/>
  </r>
  <r>
    <s v="ORD-1051"/>
    <d v="2024-02-29T00:00:00"/>
    <x v="2"/>
    <x v="2"/>
    <x v="4"/>
    <n v="7"/>
    <n v="19.010000000000002"/>
    <n v="0"/>
    <n v="133.07"/>
    <n v="13.96"/>
    <x v="0"/>
    <n v="19.010000000000002"/>
    <n v="119.11"/>
    <s v="Feb"/>
    <s v="0%"/>
  </r>
  <r>
    <s v="ORD-1052"/>
    <d v="2024-12-17T00:00:00"/>
    <x v="1"/>
    <x v="4"/>
    <x v="0"/>
    <n v="6"/>
    <n v="433.66"/>
    <n v="10"/>
    <n v="2341.7600000000002"/>
    <n v="9.2200000000000006"/>
    <x v="1"/>
    <n v="390.29"/>
    <n v="2332.54"/>
    <s v="Dec"/>
    <s v="10%"/>
  </r>
  <r>
    <s v="ORD-1053"/>
    <d v="2024-06-02T00:00:00"/>
    <x v="1"/>
    <x v="3"/>
    <x v="2"/>
    <n v="5"/>
    <n v="59.03"/>
    <n v="10"/>
    <n v="265.63"/>
    <n v="4.93"/>
    <x v="3"/>
    <n v="53.13"/>
    <n v="260.7"/>
    <s v="Jun"/>
    <s v="10%"/>
  </r>
  <r>
    <s v="ORD-1054"/>
    <d v="2024-12-06T00:00:00"/>
    <x v="2"/>
    <x v="4"/>
    <x v="3"/>
    <n v="7"/>
    <n v="179.35"/>
    <n v="10"/>
    <n v="1129.9000000000001"/>
    <n v="21.18"/>
    <x v="4"/>
    <n v="161.41"/>
    <n v="1108.72"/>
    <s v="Dec"/>
    <s v="10%"/>
  </r>
  <r>
    <s v="ORD-1055"/>
    <d v="2024-05-26T00:00:00"/>
    <x v="0"/>
    <x v="1"/>
    <x v="3"/>
    <n v="6"/>
    <n v="189.87"/>
    <n v="5"/>
    <n v="1082.26"/>
    <n v="12.16"/>
    <x v="2"/>
    <n v="180.38"/>
    <n v="1070.0999999999999"/>
    <s v="May"/>
    <s v="5%"/>
  </r>
  <r>
    <s v="ORD-1056"/>
    <d v="2024-09-18T00:00:00"/>
    <x v="2"/>
    <x v="4"/>
    <x v="1"/>
    <n v="6"/>
    <n v="177.7"/>
    <n v="0"/>
    <n v="1066.2"/>
    <n v="20.82"/>
    <x v="2"/>
    <n v="177.7"/>
    <n v="1045.3800000000001"/>
    <s v="Sep"/>
    <s v="0%"/>
  </r>
  <r>
    <s v="ORD-1057"/>
    <d v="2024-12-10T00:00:00"/>
    <x v="2"/>
    <x v="4"/>
    <x v="4"/>
    <n v="1"/>
    <n v="13.1"/>
    <n v="0"/>
    <n v="13.1"/>
    <n v="24.63"/>
    <x v="0"/>
    <n v="13.1"/>
    <n v="-11.53"/>
    <s v="Dec"/>
    <s v="0%"/>
  </r>
  <r>
    <s v="ORD-1058"/>
    <d v="2024-02-07T00:00:00"/>
    <x v="2"/>
    <x v="1"/>
    <x v="3"/>
    <n v="7"/>
    <n v="74.44"/>
    <n v="5"/>
    <n v="495.03"/>
    <n v="11.19"/>
    <x v="2"/>
    <n v="70.72"/>
    <n v="483.84"/>
    <s v="Feb"/>
    <s v="5%"/>
  </r>
  <r>
    <s v="ORD-1059"/>
    <d v="2024-12-01T00:00:00"/>
    <x v="1"/>
    <x v="0"/>
    <x v="1"/>
    <n v="4"/>
    <n v="400.29"/>
    <n v="0"/>
    <n v="1601.16"/>
    <n v="20.49"/>
    <x v="0"/>
    <n v="400.29"/>
    <n v="1580.67"/>
    <s v="Dec"/>
    <s v="0%"/>
  </r>
  <r>
    <s v="ORD-1060"/>
    <d v="2024-08-25T00:00:00"/>
    <x v="0"/>
    <x v="2"/>
    <x v="4"/>
    <n v="2"/>
    <n v="55.46"/>
    <n v="5"/>
    <n v="105.37"/>
    <n v="5.07"/>
    <x v="3"/>
    <n v="52.69"/>
    <n v="100.3"/>
    <s v="Aug"/>
    <s v="5%"/>
  </r>
  <r>
    <s v="ORD-1061"/>
    <d v="2024-12-07T00:00:00"/>
    <x v="1"/>
    <x v="2"/>
    <x v="3"/>
    <n v="8"/>
    <n v="108.84"/>
    <n v="10"/>
    <n v="783.65"/>
    <n v="20.75"/>
    <x v="0"/>
    <n v="97.96"/>
    <n v="762.9"/>
    <s v="Dec"/>
    <s v="10%"/>
  </r>
  <r>
    <s v="ORD-1062"/>
    <d v="2024-08-06T00:00:00"/>
    <x v="1"/>
    <x v="1"/>
    <x v="4"/>
    <n v="8"/>
    <n v="45.9"/>
    <n v="5"/>
    <n v="348.84"/>
    <n v="7.96"/>
    <x v="2"/>
    <n v="43.61"/>
    <n v="340.88"/>
    <s v="Aug"/>
    <s v="5%"/>
  </r>
  <r>
    <s v="ORD-1063"/>
    <d v="2024-11-22T00:00:00"/>
    <x v="2"/>
    <x v="2"/>
    <x v="2"/>
    <n v="5"/>
    <n v="99.61"/>
    <n v="5"/>
    <n v="473.15"/>
    <n v="3.78"/>
    <x v="4"/>
    <n v="94.63"/>
    <n v="469.37"/>
    <s v="Nov"/>
    <s v="5%"/>
  </r>
  <r>
    <s v="ORD-1064"/>
    <d v="2024-04-30T00:00:00"/>
    <x v="2"/>
    <x v="3"/>
    <x v="0"/>
    <n v="2"/>
    <n v="812.28"/>
    <n v="0"/>
    <n v="1624.56"/>
    <n v="5.47"/>
    <x v="3"/>
    <n v="812.28"/>
    <n v="1619.09"/>
    <s v="Apr"/>
    <s v="0%"/>
  </r>
  <r>
    <s v="ORD-1065"/>
    <d v="2024-12-21T00:00:00"/>
    <x v="0"/>
    <x v="4"/>
    <x v="1"/>
    <n v="6"/>
    <n v="236.69"/>
    <n v="10"/>
    <n v="1278.1300000000001"/>
    <n v="12.72"/>
    <x v="1"/>
    <n v="213.02"/>
    <n v="1265.4100000000001"/>
    <s v="Dec"/>
    <s v="10%"/>
  </r>
  <r>
    <s v="ORD-1066"/>
    <d v="2024-04-15T00:00:00"/>
    <x v="2"/>
    <x v="1"/>
    <x v="3"/>
    <n v="1"/>
    <n v="284.89999999999998"/>
    <n v="20"/>
    <n v="227.92"/>
    <n v="22.26"/>
    <x v="0"/>
    <n v="227.92"/>
    <n v="205.66"/>
    <s v="Apr"/>
    <s v="20%"/>
  </r>
  <r>
    <s v="ORD-1067"/>
    <d v="2024-07-13T00:00:00"/>
    <x v="2"/>
    <x v="0"/>
    <x v="0"/>
    <n v="7"/>
    <n v="324.86"/>
    <n v="20"/>
    <n v="1819.22"/>
    <n v="22.51"/>
    <x v="3"/>
    <n v="259.89"/>
    <n v="1796.71"/>
    <s v="Jul"/>
    <s v="20%"/>
  </r>
  <r>
    <s v="ORD-1068"/>
    <d v="2024-10-02T00:00:00"/>
    <x v="1"/>
    <x v="2"/>
    <x v="3"/>
    <n v="8"/>
    <n v="271.39"/>
    <n v="0"/>
    <n v="2171.12"/>
    <n v="8.2799999999999994"/>
    <x v="3"/>
    <n v="271.39"/>
    <n v="2162.84"/>
    <s v="Oct"/>
    <s v="0%"/>
  </r>
  <r>
    <s v="ORD-1069"/>
    <d v="2024-01-15T00:00:00"/>
    <x v="2"/>
    <x v="3"/>
    <x v="2"/>
    <n v="8"/>
    <n v="112.76"/>
    <n v="0"/>
    <n v="902.08"/>
    <n v="24.56"/>
    <x v="0"/>
    <n v="112.76"/>
    <n v="877.52"/>
    <s v="Jan"/>
    <s v="0%"/>
  </r>
  <r>
    <s v="ORD-1070"/>
    <d v="2024-01-14T00:00:00"/>
    <x v="2"/>
    <x v="2"/>
    <x v="3"/>
    <n v="2"/>
    <n v="205.64"/>
    <n v="15"/>
    <n v="349.59"/>
    <n v="11.86"/>
    <x v="3"/>
    <n v="174.8"/>
    <n v="337.73"/>
    <s v="Jan"/>
    <s v="15%"/>
  </r>
  <r>
    <s v="ORD-1071"/>
    <d v="2024-04-03T00:00:00"/>
    <x v="0"/>
    <x v="3"/>
    <x v="2"/>
    <n v="8"/>
    <n v="59.19"/>
    <n v="0"/>
    <n v="473.52"/>
    <n v="9.76"/>
    <x v="3"/>
    <n v="59.19"/>
    <n v="463.76"/>
    <s v="Apr"/>
    <s v="0%"/>
  </r>
  <r>
    <s v="ORD-1072"/>
    <d v="2024-05-22T00:00:00"/>
    <x v="2"/>
    <x v="3"/>
    <x v="1"/>
    <n v="1"/>
    <n v="261.64"/>
    <n v="0"/>
    <n v="261.64"/>
    <n v="7.16"/>
    <x v="1"/>
    <n v="261.64"/>
    <n v="254.48"/>
    <s v="May"/>
    <s v="0%"/>
  </r>
  <r>
    <s v="ORD-1073"/>
    <d v="2024-11-29T00:00:00"/>
    <x v="0"/>
    <x v="0"/>
    <x v="4"/>
    <n v="1"/>
    <n v="15.96"/>
    <n v="10"/>
    <n v="14.36"/>
    <n v="5.5"/>
    <x v="2"/>
    <n v="14.36"/>
    <n v="8.86"/>
    <s v="Nov"/>
    <s v="10%"/>
  </r>
  <r>
    <s v="ORD-1074"/>
    <d v="2024-08-30T00:00:00"/>
    <x v="1"/>
    <x v="0"/>
    <x v="3"/>
    <n v="8"/>
    <n v="285.37"/>
    <n v="15"/>
    <n v="1940.52"/>
    <n v="7.89"/>
    <x v="4"/>
    <n v="242.57"/>
    <n v="1932.63"/>
    <s v="Aug"/>
    <s v="15%"/>
  </r>
  <r>
    <s v="ORD-1075"/>
    <d v="2024-03-26T00:00:00"/>
    <x v="1"/>
    <x v="2"/>
    <x v="1"/>
    <n v="3"/>
    <n v="400.01"/>
    <n v="0"/>
    <n v="1200.03"/>
    <n v="4.49"/>
    <x v="1"/>
    <n v="400.01"/>
    <n v="1195.54"/>
    <s v="Mar"/>
    <s v="0%"/>
  </r>
  <r>
    <s v="ORD-1076"/>
    <d v="2024-06-08T00:00:00"/>
    <x v="1"/>
    <x v="1"/>
    <x v="2"/>
    <n v="4"/>
    <n v="142.1"/>
    <n v="0"/>
    <n v="568.4"/>
    <n v="15.62"/>
    <x v="2"/>
    <n v="142.1"/>
    <n v="552.78"/>
    <s v="Jun"/>
    <s v="0%"/>
  </r>
  <r>
    <s v="ORD-1077"/>
    <d v="2024-02-22T00:00:00"/>
    <x v="1"/>
    <x v="3"/>
    <x v="3"/>
    <n v="1"/>
    <n v="245.55"/>
    <n v="0"/>
    <n v="245.55"/>
    <n v="14.25"/>
    <x v="4"/>
    <n v="245.55"/>
    <n v="231.3"/>
    <s v="Feb"/>
    <s v="0%"/>
  </r>
  <r>
    <s v="ORD-1078"/>
    <d v="2024-02-05T00:00:00"/>
    <x v="1"/>
    <x v="3"/>
    <x v="1"/>
    <n v="8"/>
    <n v="432.31"/>
    <n v="0"/>
    <n v="3458.48"/>
    <n v="11.97"/>
    <x v="4"/>
    <n v="432.31"/>
    <n v="3446.51"/>
    <s v="Feb"/>
    <s v="0%"/>
  </r>
  <r>
    <s v="ORD-1079"/>
    <d v="2024-11-21T00:00:00"/>
    <x v="2"/>
    <x v="4"/>
    <x v="2"/>
    <n v="5"/>
    <n v="38.78"/>
    <n v="10"/>
    <n v="174.51"/>
    <n v="20.59"/>
    <x v="0"/>
    <n v="34.9"/>
    <n v="153.91999999999999"/>
    <s v="Nov"/>
    <s v="10%"/>
  </r>
  <r>
    <s v="ORD-1080"/>
    <d v="2024-09-04T00:00:00"/>
    <x v="2"/>
    <x v="1"/>
    <x v="3"/>
    <n v="4"/>
    <n v="95.15"/>
    <n v="20"/>
    <n v="304.48"/>
    <n v="23.5"/>
    <x v="4"/>
    <n v="76.12"/>
    <n v="280.98"/>
    <s v="Sep"/>
    <s v="20%"/>
  </r>
  <r>
    <s v="ORD-1081"/>
    <d v="2024-08-18T00:00:00"/>
    <x v="0"/>
    <x v="1"/>
    <x v="3"/>
    <n v="7"/>
    <n v="190.89"/>
    <n v="0"/>
    <n v="1336.23"/>
    <n v="2.66"/>
    <x v="4"/>
    <n v="190.89"/>
    <n v="1333.57"/>
    <s v="Aug"/>
    <s v="0%"/>
  </r>
  <r>
    <s v="ORD-1082"/>
    <d v="2024-04-03T00:00:00"/>
    <x v="2"/>
    <x v="4"/>
    <x v="0"/>
    <n v="6"/>
    <n v="734.22"/>
    <n v="0"/>
    <n v="4405.32"/>
    <n v="22.25"/>
    <x v="4"/>
    <n v="734.22"/>
    <n v="4383.07"/>
    <s v="Apr"/>
    <s v="0%"/>
  </r>
  <r>
    <s v="ORD-1083"/>
    <d v="2024-10-11T00:00:00"/>
    <x v="0"/>
    <x v="2"/>
    <x v="4"/>
    <n v="7"/>
    <n v="9.7100000000000009"/>
    <n v="5"/>
    <n v="64.569999999999993"/>
    <n v="14.77"/>
    <x v="2"/>
    <n v="9.2200000000000006"/>
    <n v="49.8"/>
    <s v="Oct"/>
    <s v="5%"/>
  </r>
  <r>
    <s v="ORD-1084"/>
    <d v="2024-12-19T00:00:00"/>
    <x v="2"/>
    <x v="1"/>
    <x v="2"/>
    <n v="2"/>
    <n v="122.05"/>
    <n v="0"/>
    <n v="244.1"/>
    <n v="7.1"/>
    <x v="2"/>
    <n v="122.05"/>
    <n v="237"/>
    <s v="Dec"/>
    <s v="0%"/>
  </r>
  <r>
    <s v="ORD-1085"/>
    <d v="2024-06-05T00:00:00"/>
    <x v="1"/>
    <x v="2"/>
    <x v="0"/>
    <n v="6"/>
    <n v="468.07"/>
    <n v="5"/>
    <n v="2668"/>
    <n v="24.92"/>
    <x v="0"/>
    <n v="444.67"/>
    <n v="2643.08"/>
    <s v="Jun"/>
    <s v="5%"/>
  </r>
  <r>
    <s v="ORD-1086"/>
    <d v="2024-06-18T00:00:00"/>
    <x v="2"/>
    <x v="1"/>
    <x v="0"/>
    <n v="4"/>
    <n v="331.43"/>
    <n v="0"/>
    <n v="1325.72"/>
    <n v="18.59"/>
    <x v="4"/>
    <n v="331.43"/>
    <n v="1307.1300000000001"/>
    <s v="Jun"/>
    <s v="0%"/>
  </r>
  <r>
    <s v="ORD-1087"/>
    <d v="2024-03-02T00:00:00"/>
    <x v="1"/>
    <x v="2"/>
    <x v="4"/>
    <n v="8"/>
    <n v="15.53"/>
    <n v="0"/>
    <n v="124.24"/>
    <n v="18.670000000000002"/>
    <x v="0"/>
    <n v="15.53"/>
    <n v="105.57"/>
    <s v="Mar"/>
    <s v="0%"/>
  </r>
  <r>
    <s v="ORD-1088"/>
    <d v="2024-11-01T00:00:00"/>
    <x v="2"/>
    <x v="0"/>
    <x v="4"/>
    <n v="6"/>
    <n v="21.29"/>
    <n v="0"/>
    <n v="127.74"/>
    <n v="8.9499999999999993"/>
    <x v="0"/>
    <n v="21.29"/>
    <n v="118.79"/>
    <s v="Nov"/>
    <s v="0%"/>
  </r>
  <r>
    <s v="ORD-1089"/>
    <d v="2024-03-05T00:00:00"/>
    <x v="2"/>
    <x v="0"/>
    <x v="1"/>
    <n v="3"/>
    <n v="299.01"/>
    <n v="15"/>
    <n v="762.48"/>
    <n v="21.97"/>
    <x v="3"/>
    <n v="254.16"/>
    <n v="740.51"/>
    <s v="Mar"/>
    <s v="15%"/>
  </r>
  <r>
    <s v="ORD-1090"/>
    <d v="2024-02-22T00:00:00"/>
    <x v="0"/>
    <x v="2"/>
    <x v="0"/>
    <n v="8"/>
    <n v="464.91"/>
    <n v="0"/>
    <n v="3719.28"/>
    <n v="6.24"/>
    <x v="1"/>
    <n v="464.91"/>
    <n v="3713.04"/>
    <s v="Feb"/>
    <s v="0%"/>
  </r>
  <r>
    <s v="ORD-1091"/>
    <d v="2024-05-09T00:00:00"/>
    <x v="2"/>
    <x v="0"/>
    <x v="1"/>
    <n v="2"/>
    <n v="230.32"/>
    <n v="10"/>
    <n v="414.58"/>
    <n v="16.48"/>
    <x v="1"/>
    <n v="207.29"/>
    <n v="398.1"/>
    <s v="May"/>
    <s v="10%"/>
  </r>
  <r>
    <s v="ORD-1092"/>
    <d v="2024-03-18T00:00:00"/>
    <x v="0"/>
    <x v="2"/>
    <x v="0"/>
    <n v="4"/>
    <n v="149.85"/>
    <n v="0"/>
    <n v="599.4"/>
    <n v="14.84"/>
    <x v="3"/>
    <n v="149.85"/>
    <n v="584.55999999999995"/>
    <s v="Mar"/>
    <s v="0%"/>
  </r>
  <r>
    <s v="ORD-1093"/>
    <d v="2024-11-06T00:00:00"/>
    <x v="1"/>
    <x v="2"/>
    <x v="4"/>
    <n v="7"/>
    <n v="47.66"/>
    <n v="5"/>
    <n v="316.94"/>
    <n v="22.9"/>
    <x v="4"/>
    <n v="45.28"/>
    <n v="294.04000000000002"/>
    <s v="Nov"/>
    <s v="5%"/>
  </r>
  <r>
    <s v="ORD-1094"/>
    <d v="2024-10-28T00:00:00"/>
    <x v="2"/>
    <x v="3"/>
    <x v="3"/>
    <n v="2"/>
    <n v="193.89"/>
    <n v="20"/>
    <n v="310.22000000000003"/>
    <n v="6.78"/>
    <x v="2"/>
    <n v="155.11000000000001"/>
    <n v="303.44"/>
    <s v="Oct"/>
    <s v="20%"/>
  </r>
  <r>
    <s v="ORD-1095"/>
    <d v="2024-05-15T00:00:00"/>
    <x v="1"/>
    <x v="0"/>
    <x v="4"/>
    <n v="2"/>
    <n v="18.190000000000001"/>
    <n v="0"/>
    <n v="36.380000000000003"/>
    <n v="2.06"/>
    <x v="3"/>
    <n v="18.190000000000001"/>
    <n v="34.32"/>
    <s v="May"/>
    <s v="0%"/>
  </r>
  <r>
    <s v="ORD-1096"/>
    <d v="2024-12-18T00:00:00"/>
    <x v="1"/>
    <x v="1"/>
    <x v="0"/>
    <n v="5"/>
    <n v="106.76"/>
    <n v="15"/>
    <n v="453.73"/>
    <n v="8.5"/>
    <x v="3"/>
    <n v="90.75"/>
    <n v="445.23"/>
    <s v="Dec"/>
    <s v="15%"/>
  </r>
  <r>
    <s v="ORD-1097"/>
    <d v="2024-02-06T00:00:00"/>
    <x v="1"/>
    <x v="4"/>
    <x v="0"/>
    <n v="4"/>
    <n v="726.02"/>
    <n v="5"/>
    <n v="2758.88"/>
    <n v="4.6399999999999997"/>
    <x v="2"/>
    <n v="689.72"/>
    <n v="2754.24"/>
    <s v="Feb"/>
    <s v="5%"/>
  </r>
  <r>
    <s v="ORD-1098"/>
    <d v="2024-11-27T00:00:00"/>
    <x v="0"/>
    <x v="3"/>
    <x v="4"/>
    <n v="3"/>
    <n v="8.93"/>
    <n v="20"/>
    <n v="21.43"/>
    <n v="9.08"/>
    <x v="0"/>
    <n v="7.14"/>
    <n v="12.35"/>
    <s v="Nov"/>
    <s v="20%"/>
  </r>
  <r>
    <s v="ORD-1099"/>
    <d v="2024-05-27T00:00:00"/>
    <x v="2"/>
    <x v="0"/>
    <x v="2"/>
    <n v="7"/>
    <n v="107.97"/>
    <n v="0"/>
    <n v="755.79"/>
    <n v="13.51"/>
    <x v="3"/>
    <n v="107.97"/>
    <n v="742.28"/>
    <s v="May"/>
    <s v="0%"/>
  </r>
  <r>
    <s v="ORD-1100"/>
    <d v="2024-08-12T00:00:00"/>
    <x v="0"/>
    <x v="2"/>
    <x v="1"/>
    <n v="6"/>
    <n v="450.24"/>
    <n v="10"/>
    <n v="2431.3000000000002"/>
    <n v="7.76"/>
    <x v="1"/>
    <n v="405.22"/>
    <n v="2423.54"/>
    <s v="Aug"/>
    <s v="10%"/>
  </r>
  <r>
    <s v="ORD-1101"/>
    <d v="2024-04-27T00:00:00"/>
    <x v="1"/>
    <x v="2"/>
    <x v="3"/>
    <n v="5"/>
    <n v="286.22000000000003"/>
    <n v="10"/>
    <n v="1287.99"/>
    <n v="2.93"/>
    <x v="2"/>
    <n v="257.60000000000002"/>
    <n v="1285.06"/>
    <s v="Apr"/>
    <s v="10%"/>
  </r>
  <r>
    <s v="ORD-1102"/>
    <d v="2024-08-28T00:00:00"/>
    <x v="1"/>
    <x v="1"/>
    <x v="0"/>
    <n v="7"/>
    <n v="228.82"/>
    <n v="15"/>
    <n v="1361.48"/>
    <n v="20.73"/>
    <x v="1"/>
    <n v="194.5"/>
    <n v="1340.75"/>
    <s v="Aug"/>
    <s v="15%"/>
  </r>
  <r>
    <s v="ORD-1103"/>
    <d v="2024-08-28T00:00:00"/>
    <x v="2"/>
    <x v="1"/>
    <x v="0"/>
    <n v="2"/>
    <n v="343.27"/>
    <n v="20"/>
    <n v="549.23"/>
    <n v="5.7"/>
    <x v="3"/>
    <n v="274.62"/>
    <n v="543.53"/>
    <s v="Aug"/>
    <s v="20%"/>
  </r>
  <r>
    <s v="ORD-1104"/>
    <d v="2024-12-21T00:00:00"/>
    <x v="2"/>
    <x v="3"/>
    <x v="2"/>
    <n v="1"/>
    <n v="124.83"/>
    <n v="5"/>
    <n v="118.59"/>
    <n v="4.03"/>
    <x v="4"/>
    <n v="118.59"/>
    <n v="114.56"/>
    <s v="Dec"/>
    <s v="5%"/>
  </r>
  <r>
    <s v="ORD-1105"/>
    <d v="2024-06-14T00:00:00"/>
    <x v="0"/>
    <x v="1"/>
    <x v="3"/>
    <n v="1"/>
    <n v="250.98"/>
    <n v="15"/>
    <n v="213.33"/>
    <n v="22"/>
    <x v="3"/>
    <n v="213.33"/>
    <n v="191.33"/>
    <s v="Jun"/>
    <s v="15%"/>
  </r>
  <r>
    <s v="ORD-1106"/>
    <d v="2024-07-30T00:00:00"/>
    <x v="0"/>
    <x v="4"/>
    <x v="3"/>
    <n v="8"/>
    <n v="121.3"/>
    <n v="15"/>
    <n v="824.84"/>
    <n v="12.17"/>
    <x v="1"/>
    <n v="103.11"/>
    <n v="812.67"/>
    <s v="Jul"/>
    <s v="15%"/>
  </r>
  <r>
    <s v="ORD-1107"/>
    <d v="2024-04-14T00:00:00"/>
    <x v="2"/>
    <x v="2"/>
    <x v="4"/>
    <n v="8"/>
    <n v="56.02"/>
    <n v="15"/>
    <n v="380.94"/>
    <n v="13.15"/>
    <x v="1"/>
    <n v="47.62"/>
    <n v="367.79"/>
    <s v="Apr"/>
    <s v="15%"/>
  </r>
  <r>
    <s v="ORD-1108"/>
    <d v="2024-11-18T00:00:00"/>
    <x v="1"/>
    <x v="4"/>
    <x v="4"/>
    <n v="1"/>
    <n v="22.09"/>
    <n v="10"/>
    <n v="19.88"/>
    <n v="11.38"/>
    <x v="2"/>
    <n v="19.88"/>
    <n v="8.5"/>
    <s v="Nov"/>
    <s v="10%"/>
  </r>
  <r>
    <s v="ORD-1109"/>
    <d v="2024-02-28T00:00:00"/>
    <x v="2"/>
    <x v="0"/>
    <x v="4"/>
    <n v="5"/>
    <n v="32.409999999999997"/>
    <n v="10"/>
    <n v="145.85"/>
    <n v="18.22"/>
    <x v="3"/>
    <n v="29.17"/>
    <n v="127.63"/>
    <s v="Feb"/>
    <s v="10%"/>
  </r>
  <r>
    <s v="ORD-1110"/>
    <d v="2024-09-04T00:00:00"/>
    <x v="2"/>
    <x v="4"/>
    <x v="2"/>
    <n v="7"/>
    <n v="89.42"/>
    <n v="0"/>
    <n v="625.94000000000005"/>
    <n v="23.2"/>
    <x v="0"/>
    <n v="89.42"/>
    <n v="602.74"/>
    <s v="Sep"/>
    <s v="0%"/>
  </r>
  <r>
    <s v="ORD-1111"/>
    <d v="2024-03-10T00:00:00"/>
    <x v="0"/>
    <x v="3"/>
    <x v="2"/>
    <n v="5"/>
    <n v="60.88"/>
    <n v="20"/>
    <n v="243.52"/>
    <n v="2.06"/>
    <x v="4"/>
    <n v="48.7"/>
    <n v="241.46"/>
    <s v="Mar"/>
    <s v="20%"/>
  </r>
  <r>
    <s v="ORD-1112"/>
    <d v="2024-10-27T00:00:00"/>
    <x v="1"/>
    <x v="1"/>
    <x v="4"/>
    <n v="8"/>
    <n v="29.56"/>
    <n v="0"/>
    <n v="236.48"/>
    <n v="9.65"/>
    <x v="0"/>
    <n v="29.56"/>
    <n v="226.83"/>
    <s v="Oct"/>
    <s v="0%"/>
  </r>
  <r>
    <s v="ORD-1113"/>
    <d v="2024-07-12T00:00:00"/>
    <x v="2"/>
    <x v="3"/>
    <x v="4"/>
    <n v="4"/>
    <n v="58.94"/>
    <n v="10"/>
    <n v="212.18"/>
    <n v="10.81"/>
    <x v="3"/>
    <n v="53.05"/>
    <n v="201.37"/>
    <s v="Jul"/>
    <s v="10%"/>
  </r>
  <r>
    <s v="ORD-1114"/>
    <d v="2024-01-23T00:00:00"/>
    <x v="2"/>
    <x v="1"/>
    <x v="2"/>
    <n v="3"/>
    <n v="67.12"/>
    <n v="5"/>
    <n v="191.29"/>
    <n v="24.19"/>
    <x v="2"/>
    <n v="63.76"/>
    <n v="167.1"/>
    <s v="Jan"/>
    <s v="5%"/>
  </r>
  <r>
    <s v="ORD-1115"/>
    <d v="2024-09-14T00:00:00"/>
    <x v="1"/>
    <x v="3"/>
    <x v="1"/>
    <n v="8"/>
    <n v="443.39"/>
    <n v="0"/>
    <n v="3547.12"/>
    <n v="14.1"/>
    <x v="3"/>
    <n v="443.39"/>
    <n v="3533.02"/>
    <s v="Sep"/>
    <s v="0%"/>
  </r>
  <r>
    <s v="ORD-1116"/>
    <d v="2024-01-08T00:00:00"/>
    <x v="1"/>
    <x v="4"/>
    <x v="2"/>
    <n v="3"/>
    <n v="132.58000000000001"/>
    <n v="0"/>
    <n v="397.74"/>
    <n v="12.8"/>
    <x v="4"/>
    <n v="132.58000000000001"/>
    <n v="384.94"/>
    <s v="Jan"/>
    <s v="0%"/>
  </r>
  <r>
    <s v="ORD-1117"/>
    <d v="2024-06-22T00:00:00"/>
    <x v="1"/>
    <x v="1"/>
    <x v="1"/>
    <n v="7"/>
    <n v="433.29"/>
    <n v="0"/>
    <n v="3033.03"/>
    <n v="16.420000000000002"/>
    <x v="3"/>
    <n v="433.29"/>
    <n v="3016.61"/>
    <s v="Jun"/>
    <s v="0%"/>
  </r>
  <r>
    <s v="ORD-1118"/>
    <d v="2024-10-04T00:00:00"/>
    <x v="0"/>
    <x v="2"/>
    <x v="1"/>
    <n v="5"/>
    <n v="155.65"/>
    <n v="0"/>
    <n v="778.25"/>
    <n v="19.18"/>
    <x v="3"/>
    <n v="155.65"/>
    <n v="759.07"/>
    <s v="Oct"/>
    <s v="0%"/>
  </r>
  <r>
    <s v="ORD-1119"/>
    <d v="2024-02-20T00:00:00"/>
    <x v="1"/>
    <x v="0"/>
    <x v="2"/>
    <n v="5"/>
    <n v="37.46"/>
    <n v="0"/>
    <n v="187.3"/>
    <n v="3.06"/>
    <x v="1"/>
    <n v="37.46"/>
    <n v="184.24"/>
    <s v="Feb"/>
    <s v="0%"/>
  </r>
  <r>
    <s v="ORD-1120"/>
    <d v="2024-05-30T00:00:00"/>
    <x v="2"/>
    <x v="3"/>
    <x v="2"/>
    <n v="7"/>
    <n v="34.65"/>
    <n v="10"/>
    <n v="218.3"/>
    <n v="17.68"/>
    <x v="2"/>
    <n v="31.19"/>
    <n v="200.62"/>
    <s v="May"/>
    <s v="10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D4E8E-98B9-46A3-9738-AF42D83AA55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24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Count of OrderID2" fld="0" subtotal="count" showDataAs="percentOfCol" baseField="10" baseItem="0" numFmtId="174"/>
  </dataFields>
  <formats count="1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7A77E-D20B-4CA0-8DAA-E283EFD9C1D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:E16" firstHeaderRow="1" firstDataRow="2" firstDataCol="1"/>
  <pivotFields count="15">
    <pivotField showAll="0"/>
    <pivotField numFmtId="14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OrderValue" fld="8" baseField="0" baseItem="0" numFmtId="170"/>
  </dataFields>
  <formats count="1">
    <format dxfId="9">
      <pivotArea outline="0" collapsedLevelsAreSubtotals="1" fieldPosition="0"/>
    </format>
  </formats>
  <chartFormats count="18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3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3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D2768-5E06-4870-800D-1FAF9A12061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7" firstHeaderRow="0" firstDataRow="1" firstDataCol="1"/>
  <pivotFields count="15">
    <pivotField dataField="1" showAll="0"/>
    <pivotField numFmtId="14"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Value" fld="8" baseField="0" baseItem="0"/>
    <dataField name="Average Order Value" fld="8" subtotal="average" baseField="3" baseItem="0" numFmtId="170"/>
    <dataField name="Order Count" fld="0" subtotal="count" baseField="3" baseItem="0"/>
  </dataFields>
  <formats count="4">
    <format dxfId="13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1"/>
          </reference>
          <reference field="3" count="4">
            <x v="1"/>
            <x v="2"/>
            <x v="3"/>
            <x v="4"/>
          </reference>
        </references>
      </pivotArea>
    </format>
    <format dxfId="11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D4ED-E601-43A4-8B18-336976C6F279}">
  <dimension ref="A1:K121"/>
  <sheetViews>
    <sheetView workbookViewId="0">
      <selection sqref="A1:L1048576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45619</v>
      </c>
      <c r="C2" t="s">
        <v>12</v>
      </c>
      <c r="D2" t="s">
        <v>13</v>
      </c>
      <c r="E2" t="s">
        <v>14</v>
      </c>
      <c r="F2">
        <v>3</v>
      </c>
      <c r="G2">
        <v>280.81</v>
      </c>
      <c r="H2">
        <v>15</v>
      </c>
      <c r="I2">
        <v>716.07</v>
      </c>
      <c r="J2">
        <v>4.3600000000000003</v>
      </c>
      <c r="K2" t="s">
        <v>15</v>
      </c>
    </row>
    <row r="3" spans="1:11">
      <c r="A3" t="s">
        <v>16</v>
      </c>
      <c r="B3" s="1">
        <v>45336</v>
      </c>
      <c r="C3" t="s">
        <v>17</v>
      </c>
      <c r="D3" t="s">
        <v>18</v>
      </c>
      <c r="E3" t="s">
        <v>19</v>
      </c>
      <c r="F3">
        <v>4</v>
      </c>
      <c r="G3">
        <v>63.41</v>
      </c>
      <c r="H3">
        <v>0</v>
      </c>
      <c r="I3">
        <v>253.64</v>
      </c>
      <c r="J3">
        <v>13.62</v>
      </c>
      <c r="K3" t="s">
        <v>20</v>
      </c>
    </row>
    <row r="4" spans="1:11">
      <c r="A4" t="s">
        <v>21</v>
      </c>
      <c r="B4" s="1">
        <v>45579</v>
      </c>
      <c r="C4" t="s">
        <v>12</v>
      </c>
      <c r="D4" t="s">
        <v>22</v>
      </c>
      <c r="E4" t="s">
        <v>23</v>
      </c>
      <c r="F4">
        <v>5</v>
      </c>
      <c r="G4">
        <v>44.76</v>
      </c>
      <c r="H4">
        <v>20</v>
      </c>
      <c r="I4">
        <v>179.04</v>
      </c>
      <c r="J4">
        <v>21.99</v>
      </c>
      <c r="K4" t="s">
        <v>24</v>
      </c>
    </row>
    <row r="5" spans="1:11">
      <c r="A5" t="s">
        <v>25</v>
      </c>
      <c r="B5" s="1">
        <v>45649</v>
      </c>
      <c r="C5" t="s">
        <v>26</v>
      </c>
      <c r="D5" t="s">
        <v>27</v>
      </c>
      <c r="E5" t="s">
        <v>14</v>
      </c>
      <c r="F5">
        <v>6</v>
      </c>
      <c r="G5">
        <v>207.49</v>
      </c>
      <c r="H5">
        <v>0</v>
      </c>
      <c r="I5">
        <v>1244.94</v>
      </c>
      <c r="J5">
        <v>4.13</v>
      </c>
      <c r="K5" t="s">
        <v>20</v>
      </c>
    </row>
    <row r="6" spans="1:11">
      <c r="A6" t="s">
        <v>28</v>
      </c>
      <c r="B6" s="1">
        <v>45475</v>
      </c>
      <c r="C6" t="s">
        <v>26</v>
      </c>
      <c r="D6" t="s">
        <v>22</v>
      </c>
      <c r="E6" t="s">
        <v>14</v>
      </c>
      <c r="F6">
        <v>8</v>
      </c>
      <c r="G6">
        <v>741.85</v>
      </c>
      <c r="H6">
        <v>10</v>
      </c>
      <c r="I6">
        <v>5341.32</v>
      </c>
      <c r="J6">
        <v>4.87</v>
      </c>
      <c r="K6" t="s">
        <v>29</v>
      </c>
    </row>
    <row r="7" spans="1:11">
      <c r="A7" t="s">
        <v>30</v>
      </c>
      <c r="B7" s="1">
        <v>45332</v>
      </c>
      <c r="C7" t="s">
        <v>17</v>
      </c>
      <c r="D7" t="s">
        <v>27</v>
      </c>
      <c r="E7" t="s">
        <v>31</v>
      </c>
      <c r="F7">
        <v>6</v>
      </c>
      <c r="G7">
        <v>267.93</v>
      </c>
      <c r="H7">
        <v>10</v>
      </c>
      <c r="I7">
        <v>1446.82</v>
      </c>
      <c r="J7">
        <v>6.42</v>
      </c>
      <c r="K7" t="s">
        <v>20</v>
      </c>
    </row>
    <row r="8" spans="1:11">
      <c r="A8" t="s">
        <v>32</v>
      </c>
      <c r="B8" s="1">
        <v>45315</v>
      </c>
      <c r="C8" t="s">
        <v>17</v>
      </c>
      <c r="D8" t="s">
        <v>33</v>
      </c>
      <c r="E8" t="s">
        <v>14</v>
      </c>
      <c r="F8">
        <v>4</v>
      </c>
      <c r="G8">
        <v>887.88</v>
      </c>
      <c r="H8">
        <v>20</v>
      </c>
      <c r="I8">
        <v>2841.22</v>
      </c>
      <c r="J8">
        <v>4.32</v>
      </c>
      <c r="K8" t="s">
        <v>34</v>
      </c>
    </row>
    <row r="9" spans="1:11">
      <c r="A9" t="s">
        <v>35</v>
      </c>
      <c r="B9" s="1">
        <v>45524</v>
      </c>
      <c r="C9" t="s">
        <v>17</v>
      </c>
      <c r="D9" t="s">
        <v>27</v>
      </c>
      <c r="E9" t="s">
        <v>36</v>
      </c>
      <c r="F9">
        <v>4</v>
      </c>
      <c r="G9">
        <v>25.36</v>
      </c>
      <c r="H9">
        <v>15</v>
      </c>
      <c r="I9">
        <v>86.22</v>
      </c>
      <c r="J9">
        <v>8.14</v>
      </c>
      <c r="K9" t="s">
        <v>20</v>
      </c>
    </row>
    <row r="10" spans="1:11">
      <c r="A10" t="s">
        <v>37</v>
      </c>
      <c r="B10" s="1">
        <v>45603</v>
      </c>
      <c r="C10" t="s">
        <v>17</v>
      </c>
      <c r="D10" t="s">
        <v>33</v>
      </c>
      <c r="E10" t="s">
        <v>31</v>
      </c>
      <c r="F10">
        <v>3</v>
      </c>
      <c r="G10">
        <v>224.16</v>
      </c>
      <c r="H10">
        <v>5</v>
      </c>
      <c r="I10">
        <v>638.86</v>
      </c>
      <c r="J10">
        <v>10.73</v>
      </c>
      <c r="K10" t="s">
        <v>15</v>
      </c>
    </row>
    <row r="11" spans="1:11">
      <c r="A11" t="s">
        <v>38</v>
      </c>
      <c r="B11" s="1">
        <v>45404</v>
      </c>
      <c r="C11" t="s">
        <v>17</v>
      </c>
      <c r="D11" t="s">
        <v>27</v>
      </c>
      <c r="E11" t="s">
        <v>19</v>
      </c>
      <c r="F11">
        <v>1</v>
      </c>
      <c r="G11">
        <v>153.07</v>
      </c>
      <c r="H11">
        <v>20</v>
      </c>
      <c r="I11">
        <v>122.46</v>
      </c>
      <c r="J11">
        <v>9.26</v>
      </c>
      <c r="K11" t="s">
        <v>34</v>
      </c>
    </row>
    <row r="12" spans="1:11">
      <c r="A12" t="s">
        <v>39</v>
      </c>
      <c r="B12" s="1">
        <v>45325</v>
      </c>
      <c r="C12" t="s">
        <v>12</v>
      </c>
      <c r="D12" t="s">
        <v>22</v>
      </c>
      <c r="E12" t="s">
        <v>14</v>
      </c>
      <c r="F12">
        <v>8</v>
      </c>
      <c r="G12">
        <v>254.35</v>
      </c>
      <c r="H12">
        <v>5</v>
      </c>
      <c r="I12">
        <v>1933.06</v>
      </c>
      <c r="J12">
        <v>22.35</v>
      </c>
      <c r="K12" t="s">
        <v>29</v>
      </c>
    </row>
    <row r="13" spans="1:11">
      <c r="A13" t="s">
        <v>40</v>
      </c>
      <c r="B13" s="1">
        <v>45365</v>
      </c>
      <c r="C13" t="s">
        <v>26</v>
      </c>
      <c r="D13" t="s">
        <v>33</v>
      </c>
      <c r="E13" t="s">
        <v>36</v>
      </c>
      <c r="F13">
        <v>5</v>
      </c>
      <c r="G13">
        <v>45.97</v>
      </c>
      <c r="H13">
        <v>15</v>
      </c>
      <c r="I13">
        <v>195.37</v>
      </c>
      <c r="J13">
        <v>15.45</v>
      </c>
      <c r="K13" t="s">
        <v>15</v>
      </c>
    </row>
    <row r="14" spans="1:11">
      <c r="A14" t="s">
        <v>41</v>
      </c>
      <c r="B14" s="1">
        <v>45496</v>
      </c>
      <c r="C14" t="s">
        <v>26</v>
      </c>
      <c r="D14" t="s">
        <v>33</v>
      </c>
      <c r="E14" t="s">
        <v>36</v>
      </c>
      <c r="F14">
        <v>2</v>
      </c>
      <c r="G14">
        <v>33.020000000000003</v>
      </c>
      <c r="H14">
        <v>20</v>
      </c>
      <c r="I14">
        <v>52.83</v>
      </c>
      <c r="J14">
        <v>3.08</v>
      </c>
      <c r="K14" t="s">
        <v>20</v>
      </c>
    </row>
    <row r="15" spans="1:11">
      <c r="A15" t="s">
        <v>42</v>
      </c>
      <c r="B15" s="1">
        <v>45370</v>
      </c>
      <c r="C15" t="s">
        <v>17</v>
      </c>
      <c r="D15" t="s">
        <v>33</v>
      </c>
      <c r="E15" t="s">
        <v>23</v>
      </c>
      <c r="F15">
        <v>7</v>
      </c>
      <c r="G15">
        <v>95.52</v>
      </c>
      <c r="H15">
        <v>5</v>
      </c>
      <c r="I15">
        <v>635.21</v>
      </c>
      <c r="J15">
        <v>15.71</v>
      </c>
      <c r="K15" t="s">
        <v>29</v>
      </c>
    </row>
    <row r="16" spans="1:11">
      <c r="A16" t="s">
        <v>43</v>
      </c>
      <c r="B16" s="1">
        <v>45562</v>
      </c>
      <c r="C16" t="s">
        <v>26</v>
      </c>
      <c r="D16" t="s">
        <v>22</v>
      </c>
      <c r="E16" t="s">
        <v>19</v>
      </c>
      <c r="F16">
        <v>2</v>
      </c>
      <c r="G16">
        <v>356.13</v>
      </c>
      <c r="H16">
        <v>15</v>
      </c>
      <c r="I16">
        <v>605.41999999999996</v>
      </c>
      <c r="J16">
        <v>22.35</v>
      </c>
      <c r="K16" t="s">
        <v>34</v>
      </c>
    </row>
    <row r="17" spans="1:11">
      <c r="A17" t="s">
        <v>44</v>
      </c>
      <c r="B17" s="1">
        <v>45620</v>
      </c>
      <c r="C17" t="s">
        <v>26</v>
      </c>
      <c r="D17" t="s">
        <v>13</v>
      </c>
      <c r="E17" t="s">
        <v>14</v>
      </c>
      <c r="F17">
        <v>8</v>
      </c>
      <c r="G17">
        <v>436.51</v>
      </c>
      <c r="H17">
        <v>0</v>
      </c>
      <c r="I17">
        <v>3492.08</v>
      </c>
      <c r="J17">
        <v>23.94</v>
      </c>
      <c r="K17" t="s">
        <v>34</v>
      </c>
    </row>
    <row r="18" spans="1:11">
      <c r="A18" t="s">
        <v>45</v>
      </c>
      <c r="B18" s="1">
        <v>45548</v>
      </c>
      <c r="C18" t="s">
        <v>12</v>
      </c>
      <c r="D18" t="s">
        <v>22</v>
      </c>
      <c r="E18" t="s">
        <v>19</v>
      </c>
      <c r="F18">
        <v>5</v>
      </c>
      <c r="G18">
        <v>441.73</v>
      </c>
      <c r="H18">
        <v>20</v>
      </c>
      <c r="I18">
        <v>1766.92</v>
      </c>
      <c r="J18">
        <v>16.7</v>
      </c>
      <c r="K18" t="s">
        <v>15</v>
      </c>
    </row>
    <row r="19" spans="1:11">
      <c r="A19" t="s">
        <v>46</v>
      </c>
      <c r="B19" s="1">
        <v>45393</v>
      </c>
      <c r="C19" t="s">
        <v>12</v>
      </c>
      <c r="D19" t="s">
        <v>27</v>
      </c>
      <c r="E19" t="s">
        <v>36</v>
      </c>
      <c r="F19">
        <v>1</v>
      </c>
      <c r="G19">
        <v>34.67</v>
      </c>
      <c r="H19">
        <v>10</v>
      </c>
      <c r="I19">
        <v>31.2</v>
      </c>
      <c r="J19">
        <v>9.4600000000000009</v>
      </c>
      <c r="K19" t="s">
        <v>20</v>
      </c>
    </row>
    <row r="20" spans="1:11">
      <c r="A20" t="s">
        <v>47</v>
      </c>
      <c r="B20" s="1">
        <v>45349</v>
      </c>
      <c r="C20" t="s">
        <v>26</v>
      </c>
      <c r="D20" t="s">
        <v>27</v>
      </c>
      <c r="E20" t="s">
        <v>36</v>
      </c>
      <c r="F20">
        <v>2</v>
      </c>
      <c r="G20">
        <v>8.19</v>
      </c>
      <c r="H20">
        <v>0</v>
      </c>
      <c r="I20">
        <v>16.38</v>
      </c>
      <c r="J20">
        <v>18.829999999999998</v>
      </c>
      <c r="K20" t="s">
        <v>20</v>
      </c>
    </row>
    <row r="21" spans="1:11">
      <c r="A21" t="s">
        <v>48</v>
      </c>
      <c r="B21" s="1">
        <v>45564</v>
      </c>
      <c r="C21" t="s">
        <v>12</v>
      </c>
      <c r="D21" t="s">
        <v>33</v>
      </c>
      <c r="E21" t="s">
        <v>23</v>
      </c>
      <c r="F21">
        <v>3</v>
      </c>
      <c r="G21">
        <v>142.82</v>
      </c>
      <c r="H21">
        <v>0</v>
      </c>
      <c r="I21">
        <v>428.46</v>
      </c>
      <c r="J21">
        <v>14.14</v>
      </c>
      <c r="K21" t="s">
        <v>15</v>
      </c>
    </row>
    <row r="22" spans="1:11">
      <c r="A22" t="s">
        <v>49</v>
      </c>
      <c r="B22" s="1">
        <v>45508</v>
      </c>
      <c r="C22" t="s">
        <v>12</v>
      </c>
      <c r="D22" t="s">
        <v>22</v>
      </c>
      <c r="E22" t="s">
        <v>36</v>
      </c>
      <c r="F22">
        <v>7</v>
      </c>
      <c r="G22">
        <v>44.21</v>
      </c>
      <c r="H22">
        <v>15</v>
      </c>
      <c r="I22">
        <v>263.05</v>
      </c>
      <c r="J22">
        <v>16.95</v>
      </c>
      <c r="K22" t="s">
        <v>29</v>
      </c>
    </row>
    <row r="23" spans="1:11">
      <c r="A23" t="s">
        <v>50</v>
      </c>
      <c r="B23" s="1">
        <v>45556</v>
      </c>
      <c r="C23" t="s">
        <v>26</v>
      </c>
      <c r="D23" t="s">
        <v>13</v>
      </c>
      <c r="E23" t="s">
        <v>36</v>
      </c>
      <c r="F23">
        <v>6</v>
      </c>
      <c r="G23">
        <v>17.36</v>
      </c>
      <c r="H23">
        <v>0</v>
      </c>
      <c r="I23">
        <v>104.16</v>
      </c>
      <c r="J23">
        <v>15.53</v>
      </c>
      <c r="K23" t="s">
        <v>24</v>
      </c>
    </row>
    <row r="24" spans="1:11">
      <c r="A24" t="s">
        <v>51</v>
      </c>
      <c r="B24" s="1">
        <v>45593</v>
      </c>
      <c r="C24" t="s">
        <v>12</v>
      </c>
      <c r="D24" t="s">
        <v>13</v>
      </c>
      <c r="E24" t="s">
        <v>19</v>
      </c>
      <c r="F24">
        <v>1</v>
      </c>
      <c r="G24">
        <v>368.53</v>
      </c>
      <c r="H24">
        <v>0</v>
      </c>
      <c r="I24">
        <v>368.53</v>
      </c>
      <c r="J24">
        <v>3.55</v>
      </c>
      <c r="K24" t="s">
        <v>20</v>
      </c>
    </row>
    <row r="25" spans="1:11">
      <c r="A25" t="s">
        <v>52</v>
      </c>
      <c r="B25" s="1">
        <v>45461</v>
      </c>
      <c r="C25" t="s">
        <v>12</v>
      </c>
      <c r="D25" t="s">
        <v>22</v>
      </c>
      <c r="E25" t="s">
        <v>36</v>
      </c>
      <c r="F25">
        <v>8</v>
      </c>
      <c r="G25">
        <v>20.32</v>
      </c>
      <c r="H25">
        <v>0</v>
      </c>
      <c r="I25">
        <v>162.56</v>
      </c>
      <c r="J25">
        <v>14.4</v>
      </c>
      <c r="K25" t="s">
        <v>15</v>
      </c>
    </row>
    <row r="26" spans="1:11">
      <c r="A26" t="s">
        <v>53</v>
      </c>
      <c r="B26" s="1">
        <v>45587</v>
      </c>
      <c r="C26" t="s">
        <v>26</v>
      </c>
      <c r="D26" t="s">
        <v>33</v>
      </c>
      <c r="E26" t="s">
        <v>23</v>
      </c>
      <c r="F26">
        <v>4</v>
      </c>
      <c r="G26">
        <v>124.01</v>
      </c>
      <c r="H26">
        <v>0</v>
      </c>
      <c r="I26">
        <v>496.04</v>
      </c>
      <c r="J26">
        <v>4.2300000000000004</v>
      </c>
      <c r="K26" t="s">
        <v>29</v>
      </c>
    </row>
    <row r="27" spans="1:11">
      <c r="A27" t="s">
        <v>54</v>
      </c>
      <c r="B27" s="1">
        <v>45473</v>
      </c>
      <c r="C27" t="s">
        <v>26</v>
      </c>
      <c r="D27" t="s">
        <v>18</v>
      </c>
      <c r="E27" t="s">
        <v>23</v>
      </c>
      <c r="F27">
        <v>1</v>
      </c>
      <c r="G27">
        <v>131.62</v>
      </c>
      <c r="H27">
        <v>15</v>
      </c>
      <c r="I27">
        <v>111.88</v>
      </c>
      <c r="J27">
        <v>17.03</v>
      </c>
      <c r="K27" t="s">
        <v>20</v>
      </c>
    </row>
    <row r="28" spans="1:11">
      <c r="A28" t="s">
        <v>55</v>
      </c>
      <c r="B28" s="1">
        <v>45323</v>
      </c>
      <c r="C28" t="s">
        <v>26</v>
      </c>
      <c r="D28" t="s">
        <v>27</v>
      </c>
      <c r="E28" t="s">
        <v>19</v>
      </c>
      <c r="F28">
        <v>4</v>
      </c>
      <c r="G28">
        <v>161.9</v>
      </c>
      <c r="H28">
        <v>10</v>
      </c>
      <c r="I28">
        <v>582.84</v>
      </c>
      <c r="J28">
        <v>12.32</v>
      </c>
      <c r="K28" t="s">
        <v>29</v>
      </c>
    </row>
    <row r="29" spans="1:11">
      <c r="A29" t="s">
        <v>56</v>
      </c>
      <c r="B29" s="1">
        <v>45385</v>
      </c>
      <c r="C29" t="s">
        <v>26</v>
      </c>
      <c r="D29" t="s">
        <v>18</v>
      </c>
      <c r="E29" t="s">
        <v>36</v>
      </c>
      <c r="F29">
        <v>2</v>
      </c>
      <c r="G29">
        <v>53.1</v>
      </c>
      <c r="H29">
        <v>5</v>
      </c>
      <c r="I29">
        <v>100.89</v>
      </c>
      <c r="J29">
        <v>20.58</v>
      </c>
      <c r="K29" t="s">
        <v>15</v>
      </c>
    </row>
    <row r="30" spans="1:11">
      <c r="A30" t="s">
        <v>57</v>
      </c>
      <c r="B30" s="1">
        <v>45342</v>
      </c>
      <c r="C30" t="s">
        <v>12</v>
      </c>
      <c r="D30" t="s">
        <v>22</v>
      </c>
      <c r="E30" t="s">
        <v>19</v>
      </c>
      <c r="F30">
        <v>4</v>
      </c>
      <c r="G30">
        <v>486.05</v>
      </c>
      <c r="H30">
        <v>0</v>
      </c>
      <c r="I30">
        <v>1944.2</v>
      </c>
      <c r="J30">
        <v>11.35</v>
      </c>
      <c r="K30" t="s">
        <v>29</v>
      </c>
    </row>
    <row r="31" spans="1:11">
      <c r="A31" t="s">
        <v>58</v>
      </c>
      <c r="B31" s="1">
        <v>45401</v>
      </c>
      <c r="C31" t="s">
        <v>26</v>
      </c>
      <c r="D31" t="s">
        <v>13</v>
      </c>
      <c r="E31" t="s">
        <v>36</v>
      </c>
      <c r="F31">
        <v>7</v>
      </c>
      <c r="G31">
        <v>25.84</v>
      </c>
      <c r="H31">
        <v>0</v>
      </c>
      <c r="I31">
        <v>180.88</v>
      </c>
      <c r="J31">
        <v>23.31</v>
      </c>
      <c r="K31" t="s">
        <v>29</v>
      </c>
    </row>
    <row r="32" spans="1:11">
      <c r="A32" t="s">
        <v>59</v>
      </c>
      <c r="B32" s="1">
        <v>45438</v>
      </c>
      <c r="C32" t="s">
        <v>26</v>
      </c>
      <c r="D32" t="s">
        <v>22</v>
      </c>
      <c r="E32" t="s">
        <v>23</v>
      </c>
      <c r="F32">
        <v>5</v>
      </c>
      <c r="G32">
        <v>35.9</v>
      </c>
      <c r="H32">
        <v>0</v>
      </c>
      <c r="I32">
        <v>179.5</v>
      </c>
      <c r="J32">
        <v>24.28</v>
      </c>
      <c r="K32" t="s">
        <v>15</v>
      </c>
    </row>
    <row r="33" spans="1:11">
      <c r="A33" t="s">
        <v>60</v>
      </c>
      <c r="B33" s="1">
        <v>45569</v>
      </c>
      <c r="C33" t="s">
        <v>12</v>
      </c>
      <c r="D33" t="s">
        <v>27</v>
      </c>
      <c r="E33" t="s">
        <v>19</v>
      </c>
      <c r="F33">
        <v>8</v>
      </c>
      <c r="G33">
        <v>72.56</v>
      </c>
      <c r="H33">
        <v>10</v>
      </c>
      <c r="I33">
        <v>522.42999999999995</v>
      </c>
      <c r="J33">
        <v>23.15</v>
      </c>
      <c r="K33" t="s">
        <v>15</v>
      </c>
    </row>
    <row r="34" spans="1:11">
      <c r="A34" t="s">
        <v>61</v>
      </c>
      <c r="B34" s="1">
        <v>45372</v>
      </c>
      <c r="C34" t="s">
        <v>12</v>
      </c>
      <c r="D34" t="s">
        <v>22</v>
      </c>
      <c r="E34" t="s">
        <v>19</v>
      </c>
      <c r="F34">
        <v>2</v>
      </c>
      <c r="G34">
        <v>433.1</v>
      </c>
      <c r="H34">
        <v>10</v>
      </c>
      <c r="I34">
        <v>779.58</v>
      </c>
      <c r="J34">
        <v>3.56</v>
      </c>
      <c r="K34" t="s">
        <v>24</v>
      </c>
    </row>
    <row r="35" spans="1:11">
      <c r="A35" t="s">
        <v>62</v>
      </c>
      <c r="B35" s="1">
        <v>45498</v>
      </c>
      <c r="C35" t="s">
        <v>12</v>
      </c>
      <c r="D35" t="s">
        <v>22</v>
      </c>
      <c r="E35" t="s">
        <v>36</v>
      </c>
      <c r="F35">
        <v>1</v>
      </c>
      <c r="G35">
        <v>36.840000000000003</v>
      </c>
      <c r="H35">
        <v>10</v>
      </c>
      <c r="I35">
        <v>33.159999999999997</v>
      </c>
      <c r="J35">
        <v>3.89</v>
      </c>
      <c r="K35" t="s">
        <v>15</v>
      </c>
    </row>
    <row r="36" spans="1:11">
      <c r="A36" t="s">
        <v>63</v>
      </c>
      <c r="B36" s="1">
        <v>45581</v>
      </c>
      <c r="C36" t="s">
        <v>17</v>
      </c>
      <c r="D36" t="s">
        <v>27</v>
      </c>
      <c r="E36" t="s">
        <v>14</v>
      </c>
      <c r="F36">
        <v>6</v>
      </c>
      <c r="G36">
        <v>247.49</v>
      </c>
      <c r="H36">
        <v>0</v>
      </c>
      <c r="I36">
        <v>1484.94</v>
      </c>
      <c r="J36">
        <v>8.11</v>
      </c>
      <c r="K36" t="s">
        <v>24</v>
      </c>
    </row>
    <row r="37" spans="1:11">
      <c r="A37" t="s">
        <v>64</v>
      </c>
      <c r="B37" s="1">
        <v>45635</v>
      </c>
      <c r="C37" t="s">
        <v>17</v>
      </c>
      <c r="D37" t="s">
        <v>27</v>
      </c>
      <c r="E37" t="s">
        <v>23</v>
      </c>
      <c r="F37">
        <v>2</v>
      </c>
      <c r="G37">
        <v>57.68</v>
      </c>
      <c r="H37">
        <v>0</v>
      </c>
      <c r="I37">
        <v>115.36</v>
      </c>
      <c r="J37">
        <v>12.54</v>
      </c>
      <c r="K37" t="s">
        <v>15</v>
      </c>
    </row>
    <row r="38" spans="1:11">
      <c r="A38" t="s">
        <v>65</v>
      </c>
      <c r="B38" s="1">
        <v>45343</v>
      </c>
      <c r="C38" t="s">
        <v>12</v>
      </c>
      <c r="D38" t="s">
        <v>22</v>
      </c>
      <c r="E38" t="s">
        <v>36</v>
      </c>
      <c r="F38">
        <v>3</v>
      </c>
      <c r="G38">
        <v>32.82</v>
      </c>
      <c r="H38">
        <v>0</v>
      </c>
      <c r="I38">
        <v>98.46</v>
      </c>
      <c r="J38">
        <v>22.26</v>
      </c>
      <c r="K38" t="s">
        <v>24</v>
      </c>
    </row>
    <row r="39" spans="1:11">
      <c r="A39" t="s">
        <v>66</v>
      </c>
      <c r="B39" s="1">
        <v>45481</v>
      </c>
      <c r="C39" t="s">
        <v>26</v>
      </c>
      <c r="D39" t="s">
        <v>33</v>
      </c>
      <c r="E39" t="s">
        <v>23</v>
      </c>
      <c r="F39">
        <v>5</v>
      </c>
      <c r="G39">
        <v>127.56</v>
      </c>
      <c r="H39">
        <v>10</v>
      </c>
      <c r="I39">
        <v>574.02</v>
      </c>
      <c r="J39">
        <v>24.63</v>
      </c>
      <c r="K39" t="s">
        <v>15</v>
      </c>
    </row>
    <row r="40" spans="1:11">
      <c r="A40" t="s">
        <v>67</v>
      </c>
      <c r="B40" s="1">
        <v>45296</v>
      </c>
      <c r="C40" t="s">
        <v>17</v>
      </c>
      <c r="D40" t="s">
        <v>22</v>
      </c>
      <c r="E40" t="s">
        <v>14</v>
      </c>
      <c r="F40">
        <v>2</v>
      </c>
      <c r="G40">
        <v>844.04</v>
      </c>
      <c r="H40">
        <v>0</v>
      </c>
      <c r="I40">
        <v>1688.08</v>
      </c>
      <c r="J40">
        <v>8.08</v>
      </c>
      <c r="K40" t="s">
        <v>20</v>
      </c>
    </row>
    <row r="41" spans="1:11">
      <c r="A41" t="s">
        <v>68</v>
      </c>
      <c r="B41" s="1">
        <v>45575</v>
      </c>
      <c r="C41" t="s">
        <v>12</v>
      </c>
      <c r="D41" t="s">
        <v>27</v>
      </c>
      <c r="E41" t="s">
        <v>14</v>
      </c>
      <c r="F41">
        <v>6</v>
      </c>
      <c r="G41">
        <v>575.96</v>
      </c>
      <c r="H41">
        <v>0</v>
      </c>
      <c r="I41">
        <v>3455.76</v>
      </c>
      <c r="J41">
        <v>17.809999999999999</v>
      </c>
      <c r="K41" t="s">
        <v>34</v>
      </c>
    </row>
    <row r="42" spans="1:11">
      <c r="A42" t="s">
        <v>69</v>
      </c>
      <c r="B42" s="1">
        <v>45550</v>
      </c>
      <c r="C42" t="s">
        <v>26</v>
      </c>
      <c r="D42" t="s">
        <v>27</v>
      </c>
      <c r="E42" t="s">
        <v>19</v>
      </c>
      <c r="F42">
        <v>7</v>
      </c>
      <c r="G42">
        <v>91.53</v>
      </c>
      <c r="H42">
        <v>20</v>
      </c>
      <c r="I42">
        <v>512.57000000000005</v>
      </c>
      <c r="J42">
        <v>8.36</v>
      </c>
      <c r="K42" t="s">
        <v>20</v>
      </c>
    </row>
    <row r="43" spans="1:11">
      <c r="A43" t="s">
        <v>70</v>
      </c>
      <c r="B43" s="1">
        <v>45462</v>
      </c>
      <c r="C43" t="s">
        <v>12</v>
      </c>
      <c r="D43" t="s">
        <v>27</v>
      </c>
      <c r="E43" t="s">
        <v>36</v>
      </c>
      <c r="F43">
        <v>7</v>
      </c>
      <c r="G43">
        <v>45.77</v>
      </c>
      <c r="H43">
        <v>10</v>
      </c>
      <c r="I43">
        <v>288.35000000000002</v>
      </c>
      <c r="J43">
        <v>2.2200000000000002</v>
      </c>
      <c r="K43" t="s">
        <v>20</v>
      </c>
    </row>
    <row r="44" spans="1:11">
      <c r="A44" t="s">
        <v>71</v>
      </c>
      <c r="B44" s="1">
        <v>45645</v>
      </c>
      <c r="C44" t="s">
        <v>12</v>
      </c>
      <c r="D44" t="s">
        <v>22</v>
      </c>
      <c r="E44" t="s">
        <v>19</v>
      </c>
      <c r="F44">
        <v>3</v>
      </c>
      <c r="G44">
        <v>425.57</v>
      </c>
      <c r="H44">
        <v>5</v>
      </c>
      <c r="I44">
        <v>1212.8699999999999</v>
      </c>
      <c r="J44">
        <v>4.93</v>
      </c>
      <c r="K44" t="s">
        <v>34</v>
      </c>
    </row>
    <row r="45" spans="1:11">
      <c r="A45" t="s">
        <v>72</v>
      </c>
      <c r="B45" s="1">
        <v>45478</v>
      </c>
      <c r="C45" t="s">
        <v>12</v>
      </c>
      <c r="D45" t="s">
        <v>27</v>
      </c>
      <c r="E45" t="s">
        <v>36</v>
      </c>
      <c r="F45">
        <v>2</v>
      </c>
      <c r="G45">
        <v>42.51</v>
      </c>
      <c r="H45">
        <v>0</v>
      </c>
      <c r="I45">
        <v>85.02</v>
      </c>
      <c r="J45">
        <v>19.940000000000001</v>
      </c>
      <c r="K45" t="s">
        <v>29</v>
      </c>
    </row>
    <row r="46" spans="1:11">
      <c r="A46" t="s">
        <v>73</v>
      </c>
      <c r="B46" s="1">
        <v>45609</v>
      </c>
      <c r="C46" t="s">
        <v>17</v>
      </c>
      <c r="D46" t="s">
        <v>33</v>
      </c>
      <c r="E46" t="s">
        <v>36</v>
      </c>
      <c r="F46">
        <v>3</v>
      </c>
      <c r="G46">
        <v>52.55</v>
      </c>
      <c r="H46">
        <v>5</v>
      </c>
      <c r="I46">
        <v>149.77000000000001</v>
      </c>
      <c r="J46">
        <v>2.57</v>
      </c>
      <c r="K46" t="s">
        <v>34</v>
      </c>
    </row>
    <row r="47" spans="1:11">
      <c r="A47" t="s">
        <v>74</v>
      </c>
      <c r="B47" s="1">
        <v>45502</v>
      </c>
      <c r="C47" t="s">
        <v>17</v>
      </c>
      <c r="D47" t="s">
        <v>33</v>
      </c>
      <c r="E47" t="s">
        <v>14</v>
      </c>
      <c r="F47">
        <v>2</v>
      </c>
      <c r="G47">
        <v>210.54</v>
      </c>
      <c r="H47">
        <v>5</v>
      </c>
      <c r="I47">
        <v>400.03</v>
      </c>
      <c r="J47">
        <v>22.06</v>
      </c>
      <c r="K47" t="s">
        <v>29</v>
      </c>
    </row>
    <row r="48" spans="1:11">
      <c r="A48" t="s">
        <v>75</v>
      </c>
      <c r="B48" s="1">
        <v>45405</v>
      </c>
      <c r="C48" t="s">
        <v>12</v>
      </c>
      <c r="D48" t="s">
        <v>18</v>
      </c>
      <c r="E48" t="s">
        <v>14</v>
      </c>
      <c r="F48">
        <v>4</v>
      </c>
      <c r="G48">
        <v>330.26</v>
      </c>
      <c r="H48">
        <v>0</v>
      </c>
      <c r="I48">
        <v>1321.04</v>
      </c>
      <c r="J48">
        <v>2.54</v>
      </c>
      <c r="K48" t="s">
        <v>24</v>
      </c>
    </row>
    <row r="49" spans="1:11">
      <c r="A49" t="s">
        <v>76</v>
      </c>
      <c r="B49" s="1">
        <v>45496</v>
      </c>
      <c r="C49" t="s">
        <v>26</v>
      </c>
      <c r="D49" t="s">
        <v>27</v>
      </c>
      <c r="E49" t="s">
        <v>19</v>
      </c>
      <c r="F49">
        <v>5</v>
      </c>
      <c r="G49">
        <v>485.1</v>
      </c>
      <c r="H49">
        <v>0</v>
      </c>
      <c r="I49">
        <v>2425.5</v>
      </c>
      <c r="J49">
        <v>16.75</v>
      </c>
      <c r="K49" t="s">
        <v>29</v>
      </c>
    </row>
    <row r="50" spans="1:11">
      <c r="A50" t="s">
        <v>77</v>
      </c>
      <c r="B50" s="1">
        <v>45639</v>
      </c>
      <c r="C50" t="s">
        <v>17</v>
      </c>
      <c r="D50" t="s">
        <v>27</v>
      </c>
      <c r="E50" t="s">
        <v>19</v>
      </c>
      <c r="F50">
        <v>5</v>
      </c>
      <c r="G50">
        <v>101.9</v>
      </c>
      <c r="H50">
        <v>0</v>
      </c>
      <c r="I50">
        <v>509.5</v>
      </c>
      <c r="J50">
        <v>15.35</v>
      </c>
      <c r="K50" t="s">
        <v>34</v>
      </c>
    </row>
    <row r="51" spans="1:11">
      <c r="A51" t="s">
        <v>78</v>
      </c>
      <c r="B51" s="1">
        <v>45311</v>
      </c>
      <c r="C51" t="s">
        <v>12</v>
      </c>
      <c r="D51" t="s">
        <v>22</v>
      </c>
      <c r="E51" t="s">
        <v>23</v>
      </c>
      <c r="F51">
        <v>6</v>
      </c>
      <c r="G51">
        <v>61.67</v>
      </c>
      <c r="H51">
        <v>5</v>
      </c>
      <c r="I51">
        <v>351.52</v>
      </c>
      <c r="J51">
        <v>15.94</v>
      </c>
      <c r="K51" t="s">
        <v>15</v>
      </c>
    </row>
    <row r="52" spans="1:11">
      <c r="A52" t="s">
        <v>79</v>
      </c>
      <c r="B52" s="1">
        <v>45351</v>
      </c>
      <c r="C52" t="s">
        <v>26</v>
      </c>
      <c r="D52" t="s">
        <v>22</v>
      </c>
      <c r="E52" t="s">
        <v>36</v>
      </c>
      <c r="F52">
        <v>7</v>
      </c>
      <c r="G52">
        <v>19.010000000000002</v>
      </c>
      <c r="H52">
        <v>0</v>
      </c>
      <c r="I52">
        <v>133.07</v>
      </c>
      <c r="J52">
        <v>13.96</v>
      </c>
      <c r="K52" t="s">
        <v>15</v>
      </c>
    </row>
    <row r="53" spans="1:11">
      <c r="A53" t="s">
        <v>80</v>
      </c>
      <c r="B53" s="1">
        <v>45643</v>
      </c>
      <c r="C53" t="s">
        <v>17</v>
      </c>
      <c r="D53" t="s">
        <v>33</v>
      </c>
      <c r="E53" t="s">
        <v>14</v>
      </c>
      <c r="F53">
        <v>6</v>
      </c>
      <c r="G53">
        <v>433.66</v>
      </c>
      <c r="H53">
        <v>10</v>
      </c>
      <c r="I53">
        <v>2341.7600000000002</v>
      </c>
      <c r="J53">
        <v>9.2200000000000006</v>
      </c>
      <c r="K53" t="s">
        <v>20</v>
      </c>
    </row>
    <row r="54" spans="1:11">
      <c r="A54" t="s">
        <v>81</v>
      </c>
      <c r="B54" s="1">
        <v>45445</v>
      </c>
      <c r="C54" t="s">
        <v>17</v>
      </c>
      <c r="D54" t="s">
        <v>27</v>
      </c>
      <c r="E54" t="s">
        <v>23</v>
      </c>
      <c r="F54">
        <v>5</v>
      </c>
      <c r="G54">
        <v>59.03</v>
      </c>
      <c r="H54">
        <v>10</v>
      </c>
      <c r="I54">
        <v>265.63</v>
      </c>
      <c r="J54">
        <v>4.93</v>
      </c>
      <c r="K54" t="s">
        <v>29</v>
      </c>
    </row>
    <row r="55" spans="1:11">
      <c r="A55" t="s">
        <v>82</v>
      </c>
      <c r="B55" s="1">
        <v>45632</v>
      </c>
      <c r="C55" t="s">
        <v>26</v>
      </c>
      <c r="D55" t="s">
        <v>33</v>
      </c>
      <c r="E55" t="s">
        <v>31</v>
      </c>
      <c r="F55">
        <v>7</v>
      </c>
      <c r="G55">
        <v>179.35</v>
      </c>
      <c r="H55">
        <v>10</v>
      </c>
      <c r="I55">
        <v>1129.9000000000001</v>
      </c>
      <c r="J55">
        <v>21.18</v>
      </c>
      <c r="K55" t="s">
        <v>34</v>
      </c>
    </row>
    <row r="56" spans="1:11">
      <c r="A56" t="s">
        <v>83</v>
      </c>
      <c r="B56" s="1">
        <v>45438</v>
      </c>
      <c r="C56" t="s">
        <v>12</v>
      </c>
      <c r="D56" t="s">
        <v>18</v>
      </c>
      <c r="E56" t="s">
        <v>31</v>
      </c>
      <c r="F56">
        <v>6</v>
      </c>
      <c r="G56">
        <v>189.87</v>
      </c>
      <c r="H56">
        <v>5</v>
      </c>
      <c r="I56">
        <v>1082.26</v>
      </c>
      <c r="J56">
        <v>12.16</v>
      </c>
      <c r="K56" t="s">
        <v>24</v>
      </c>
    </row>
    <row r="57" spans="1:11">
      <c r="A57" t="s">
        <v>84</v>
      </c>
      <c r="B57" s="1">
        <v>45553</v>
      </c>
      <c r="C57" t="s">
        <v>26</v>
      </c>
      <c r="D57" t="s">
        <v>33</v>
      </c>
      <c r="E57" t="s">
        <v>19</v>
      </c>
      <c r="F57">
        <v>6</v>
      </c>
      <c r="G57">
        <v>177.7</v>
      </c>
      <c r="H57">
        <v>0</v>
      </c>
      <c r="I57">
        <v>1066.2</v>
      </c>
      <c r="J57">
        <v>20.82</v>
      </c>
      <c r="K57" t="s">
        <v>24</v>
      </c>
    </row>
    <row r="58" spans="1:11">
      <c r="A58" t="s">
        <v>85</v>
      </c>
      <c r="B58" s="1">
        <v>45636</v>
      </c>
      <c r="C58" t="s">
        <v>26</v>
      </c>
      <c r="D58" t="s">
        <v>33</v>
      </c>
      <c r="E58" t="s">
        <v>36</v>
      </c>
      <c r="F58">
        <v>1</v>
      </c>
      <c r="G58">
        <v>13.1</v>
      </c>
      <c r="H58">
        <v>0</v>
      </c>
      <c r="I58">
        <v>13.1</v>
      </c>
      <c r="J58">
        <v>24.63</v>
      </c>
      <c r="K58" t="s">
        <v>15</v>
      </c>
    </row>
    <row r="59" spans="1:11">
      <c r="A59" t="s">
        <v>86</v>
      </c>
      <c r="B59" s="1">
        <v>45329</v>
      </c>
      <c r="C59" t="s">
        <v>26</v>
      </c>
      <c r="D59" t="s">
        <v>18</v>
      </c>
      <c r="E59" t="s">
        <v>31</v>
      </c>
      <c r="F59">
        <v>7</v>
      </c>
      <c r="G59">
        <v>74.44</v>
      </c>
      <c r="H59">
        <v>5</v>
      </c>
      <c r="I59">
        <v>495.03</v>
      </c>
      <c r="J59">
        <v>11.19</v>
      </c>
      <c r="K59" t="s">
        <v>24</v>
      </c>
    </row>
    <row r="60" spans="1:11">
      <c r="A60" t="s">
        <v>87</v>
      </c>
      <c r="B60" s="1">
        <v>45627</v>
      </c>
      <c r="C60" t="s">
        <v>17</v>
      </c>
      <c r="D60" t="s">
        <v>13</v>
      </c>
      <c r="E60" t="s">
        <v>19</v>
      </c>
      <c r="F60">
        <v>4</v>
      </c>
      <c r="G60">
        <v>400.29</v>
      </c>
      <c r="H60">
        <v>0</v>
      </c>
      <c r="I60">
        <v>1601.16</v>
      </c>
      <c r="J60">
        <v>20.49</v>
      </c>
      <c r="K60" t="s">
        <v>15</v>
      </c>
    </row>
    <row r="61" spans="1:11">
      <c r="A61" t="s">
        <v>88</v>
      </c>
      <c r="B61" s="1">
        <v>45529</v>
      </c>
      <c r="C61" t="s">
        <v>12</v>
      </c>
      <c r="D61" t="s">
        <v>22</v>
      </c>
      <c r="E61" t="s">
        <v>36</v>
      </c>
      <c r="F61">
        <v>2</v>
      </c>
      <c r="G61">
        <v>55.46</v>
      </c>
      <c r="H61">
        <v>5</v>
      </c>
      <c r="I61">
        <v>105.37</v>
      </c>
      <c r="J61">
        <v>5.07</v>
      </c>
      <c r="K61" t="s">
        <v>29</v>
      </c>
    </row>
    <row r="62" spans="1:11">
      <c r="A62" t="s">
        <v>89</v>
      </c>
      <c r="B62" s="1">
        <v>45633</v>
      </c>
      <c r="C62" t="s">
        <v>17</v>
      </c>
      <c r="D62" t="s">
        <v>22</v>
      </c>
      <c r="E62" t="s">
        <v>31</v>
      </c>
      <c r="F62">
        <v>8</v>
      </c>
      <c r="G62">
        <v>108.84</v>
      </c>
      <c r="H62">
        <v>10</v>
      </c>
      <c r="I62">
        <v>783.65</v>
      </c>
      <c r="J62">
        <v>20.75</v>
      </c>
      <c r="K62" t="s">
        <v>15</v>
      </c>
    </row>
    <row r="63" spans="1:11">
      <c r="A63" t="s">
        <v>90</v>
      </c>
      <c r="B63" s="1">
        <v>45510</v>
      </c>
      <c r="C63" t="s">
        <v>17</v>
      </c>
      <c r="D63" t="s">
        <v>18</v>
      </c>
      <c r="E63" t="s">
        <v>36</v>
      </c>
      <c r="F63">
        <v>8</v>
      </c>
      <c r="G63">
        <v>45.9</v>
      </c>
      <c r="H63">
        <v>5</v>
      </c>
      <c r="I63">
        <v>348.84</v>
      </c>
      <c r="J63">
        <v>7.96</v>
      </c>
      <c r="K63" t="s">
        <v>24</v>
      </c>
    </row>
    <row r="64" spans="1:11">
      <c r="A64" t="s">
        <v>91</v>
      </c>
      <c r="B64" s="1">
        <v>45618</v>
      </c>
      <c r="C64" t="s">
        <v>26</v>
      </c>
      <c r="D64" t="s">
        <v>22</v>
      </c>
      <c r="E64" t="s">
        <v>23</v>
      </c>
      <c r="F64">
        <v>5</v>
      </c>
      <c r="G64">
        <v>99.61</v>
      </c>
      <c r="H64">
        <v>5</v>
      </c>
      <c r="I64">
        <v>473.15</v>
      </c>
      <c r="J64">
        <v>3.78</v>
      </c>
      <c r="K64" t="s">
        <v>34</v>
      </c>
    </row>
    <row r="65" spans="1:11">
      <c r="A65" t="s">
        <v>92</v>
      </c>
      <c r="B65" s="1">
        <v>45412</v>
      </c>
      <c r="C65" t="s">
        <v>26</v>
      </c>
      <c r="D65" t="s">
        <v>27</v>
      </c>
      <c r="E65" t="s">
        <v>14</v>
      </c>
      <c r="F65">
        <v>2</v>
      </c>
      <c r="G65">
        <v>812.28</v>
      </c>
      <c r="H65">
        <v>0</v>
      </c>
      <c r="I65">
        <v>1624.56</v>
      </c>
      <c r="J65">
        <v>5.47</v>
      </c>
      <c r="K65" t="s">
        <v>29</v>
      </c>
    </row>
    <row r="66" spans="1:11">
      <c r="A66" t="s">
        <v>93</v>
      </c>
      <c r="B66" s="1">
        <v>45647</v>
      </c>
      <c r="C66" t="s">
        <v>12</v>
      </c>
      <c r="D66" t="s">
        <v>33</v>
      </c>
      <c r="E66" t="s">
        <v>19</v>
      </c>
      <c r="F66">
        <v>6</v>
      </c>
      <c r="G66">
        <v>236.69</v>
      </c>
      <c r="H66">
        <v>10</v>
      </c>
      <c r="I66">
        <v>1278.1300000000001</v>
      </c>
      <c r="J66">
        <v>12.72</v>
      </c>
      <c r="K66" t="s">
        <v>20</v>
      </c>
    </row>
    <row r="67" spans="1:11">
      <c r="A67" t="s">
        <v>94</v>
      </c>
      <c r="B67" s="1">
        <v>45397</v>
      </c>
      <c r="C67" t="s">
        <v>26</v>
      </c>
      <c r="D67" t="s">
        <v>18</v>
      </c>
      <c r="E67" t="s">
        <v>31</v>
      </c>
      <c r="F67">
        <v>1</v>
      </c>
      <c r="G67">
        <v>284.89999999999998</v>
      </c>
      <c r="H67">
        <v>20</v>
      </c>
      <c r="I67">
        <v>227.92</v>
      </c>
      <c r="J67">
        <v>22.26</v>
      </c>
      <c r="K67" t="s">
        <v>15</v>
      </c>
    </row>
    <row r="68" spans="1:11">
      <c r="A68" t="s">
        <v>95</v>
      </c>
      <c r="B68" s="1">
        <v>45486</v>
      </c>
      <c r="C68" t="s">
        <v>26</v>
      </c>
      <c r="D68" t="s">
        <v>13</v>
      </c>
      <c r="E68" t="s">
        <v>14</v>
      </c>
      <c r="F68">
        <v>7</v>
      </c>
      <c r="G68">
        <v>324.86</v>
      </c>
      <c r="H68">
        <v>20</v>
      </c>
      <c r="I68">
        <v>1819.22</v>
      </c>
      <c r="J68">
        <v>22.51</v>
      </c>
      <c r="K68" t="s">
        <v>29</v>
      </c>
    </row>
    <row r="69" spans="1:11">
      <c r="A69" t="s">
        <v>96</v>
      </c>
      <c r="B69" s="1">
        <v>45567</v>
      </c>
      <c r="C69" t="s">
        <v>17</v>
      </c>
      <c r="D69" t="s">
        <v>22</v>
      </c>
      <c r="E69" t="s">
        <v>31</v>
      </c>
      <c r="F69">
        <v>8</v>
      </c>
      <c r="G69">
        <v>271.39</v>
      </c>
      <c r="H69">
        <v>0</v>
      </c>
      <c r="I69">
        <v>2171.12</v>
      </c>
      <c r="J69">
        <v>8.2799999999999994</v>
      </c>
      <c r="K69" t="s">
        <v>29</v>
      </c>
    </row>
    <row r="70" spans="1:11">
      <c r="A70" t="s">
        <v>97</v>
      </c>
      <c r="B70" s="1">
        <v>45306</v>
      </c>
      <c r="C70" t="s">
        <v>26</v>
      </c>
      <c r="D70" t="s">
        <v>27</v>
      </c>
      <c r="E70" t="s">
        <v>23</v>
      </c>
      <c r="F70">
        <v>8</v>
      </c>
      <c r="G70">
        <v>112.76</v>
      </c>
      <c r="H70">
        <v>0</v>
      </c>
      <c r="I70">
        <v>902.08</v>
      </c>
      <c r="J70">
        <v>24.56</v>
      </c>
      <c r="K70" t="s">
        <v>15</v>
      </c>
    </row>
    <row r="71" spans="1:11">
      <c r="A71" t="s">
        <v>98</v>
      </c>
      <c r="B71" s="1">
        <v>45305</v>
      </c>
      <c r="C71" t="s">
        <v>26</v>
      </c>
      <c r="D71" t="s">
        <v>22</v>
      </c>
      <c r="E71" t="s">
        <v>31</v>
      </c>
      <c r="F71">
        <v>2</v>
      </c>
      <c r="G71">
        <v>205.64</v>
      </c>
      <c r="H71">
        <v>15</v>
      </c>
      <c r="I71">
        <v>349.59</v>
      </c>
      <c r="J71">
        <v>11.86</v>
      </c>
      <c r="K71" t="s">
        <v>29</v>
      </c>
    </row>
    <row r="72" spans="1:11">
      <c r="A72" t="s">
        <v>99</v>
      </c>
      <c r="B72" s="1">
        <v>45385</v>
      </c>
      <c r="C72" t="s">
        <v>12</v>
      </c>
      <c r="D72" t="s">
        <v>27</v>
      </c>
      <c r="E72" t="s">
        <v>23</v>
      </c>
      <c r="F72">
        <v>8</v>
      </c>
      <c r="G72">
        <v>59.19</v>
      </c>
      <c r="H72">
        <v>0</v>
      </c>
      <c r="I72">
        <v>473.52</v>
      </c>
      <c r="J72">
        <v>9.76</v>
      </c>
      <c r="K72" t="s">
        <v>29</v>
      </c>
    </row>
    <row r="73" spans="1:11">
      <c r="A73" t="s">
        <v>100</v>
      </c>
      <c r="B73" s="1">
        <v>45434</v>
      </c>
      <c r="C73" t="s">
        <v>26</v>
      </c>
      <c r="D73" t="s">
        <v>27</v>
      </c>
      <c r="E73" t="s">
        <v>19</v>
      </c>
      <c r="F73">
        <v>1</v>
      </c>
      <c r="G73">
        <v>261.64</v>
      </c>
      <c r="H73">
        <v>0</v>
      </c>
      <c r="I73">
        <v>261.64</v>
      </c>
      <c r="J73">
        <v>7.16</v>
      </c>
      <c r="K73" t="s">
        <v>20</v>
      </c>
    </row>
    <row r="74" spans="1:11">
      <c r="A74" t="s">
        <v>101</v>
      </c>
      <c r="B74" s="1">
        <v>45625</v>
      </c>
      <c r="C74" t="s">
        <v>12</v>
      </c>
      <c r="D74" t="s">
        <v>13</v>
      </c>
      <c r="E74" t="s">
        <v>36</v>
      </c>
      <c r="F74">
        <v>1</v>
      </c>
      <c r="G74">
        <v>15.96</v>
      </c>
      <c r="H74">
        <v>10</v>
      </c>
      <c r="I74">
        <v>14.36</v>
      </c>
      <c r="J74">
        <v>5.5</v>
      </c>
      <c r="K74" t="s">
        <v>24</v>
      </c>
    </row>
    <row r="75" spans="1:11">
      <c r="A75" t="s">
        <v>102</v>
      </c>
      <c r="B75" s="1">
        <v>45534</v>
      </c>
      <c r="C75" t="s">
        <v>17</v>
      </c>
      <c r="D75" t="s">
        <v>13</v>
      </c>
      <c r="E75" t="s">
        <v>31</v>
      </c>
      <c r="F75">
        <v>8</v>
      </c>
      <c r="G75">
        <v>285.37</v>
      </c>
      <c r="H75">
        <v>15</v>
      </c>
      <c r="I75">
        <v>1940.52</v>
      </c>
      <c r="J75">
        <v>7.89</v>
      </c>
      <c r="K75" t="s">
        <v>34</v>
      </c>
    </row>
    <row r="76" spans="1:11">
      <c r="A76" t="s">
        <v>103</v>
      </c>
      <c r="B76" s="1">
        <v>45377</v>
      </c>
      <c r="C76" t="s">
        <v>17</v>
      </c>
      <c r="D76" t="s">
        <v>22</v>
      </c>
      <c r="E76" t="s">
        <v>19</v>
      </c>
      <c r="F76">
        <v>3</v>
      </c>
      <c r="G76">
        <v>400.01</v>
      </c>
      <c r="H76">
        <v>0</v>
      </c>
      <c r="I76">
        <v>1200.03</v>
      </c>
      <c r="J76">
        <v>4.49</v>
      </c>
      <c r="K76" t="s">
        <v>20</v>
      </c>
    </row>
    <row r="77" spans="1:11">
      <c r="A77" t="s">
        <v>104</v>
      </c>
      <c r="B77" s="1">
        <v>45451</v>
      </c>
      <c r="C77" t="s">
        <v>17</v>
      </c>
      <c r="D77" t="s">
        <v>18</v>
      </c>
      <c r="E77" t="s">
        <v>23</v>
      </c>
      <c r="F77">
        <v>4</v>
      </c>
      <c r="G77">
        <v>142.1</v>
      </c>
      <c r="H77">
        <v>0</v>
      </c>
      <c r="I77">
        <v>568.4</v>
      </c>
      <c r="J77">
        <v>15.62</v>
      </c>
      <c r="K77" t="s">
        <v>24</v>
      </c>
    </row>
    <row r="78" spans="1:11">
      <c r="A78" t="s">
        <v>105</v>
      </c>
      <c r="B78" s="1">
        <v>45344</v>
      </c>
      <c r="C78" t="s">
        <v>17</v>
      </c>
      <c r="D78" t="s">
        <v>27</v>
      </c>
      <c r="E78" t="s">
        <v>31</v>
      </c>
      <c r="F78">
        <v>1</v>
      </c>
      <c r="G78">
        <v>245.55</v>
      </c>
      <c r="H78">
        <v>0</v>
      </c>
      <c r="I78">
        <v>245.55</v>
      </c>
      <c r="J78">
        <v>14.25</v>
      </c>
      <c r="K78" t="s">
        <v>34</v>
      </c>
    </row>
    <row r="79" spans="1:11">
      <c r="A79" t="s">
        <v>106</v>
      </c>
      <c r="B79" s="1">
        <v>45327</v>
      </c>
      <c r="C79" t="s">
        <v>17</v>
      </c>
      <c r="D79" t="s">
        <v>27</v>
      </c>
      <c r="E79" t="s">
        <v>19</v>
      </c>
      <c r="F79">
        <v>8</v>
      </c>
      <c r="G79">
        <v>432.31</v>
      </c>
      <c r="H79">
        <v>0</v>
      </c>
      <c r="I79">
        <v>3458.48</v>
      </c>
      <c r="J79">
        <v>11.97</v>
      </c>
      <c r="K79" t="s">
        <v>34</v>
      </c>
    </row>
    <row r="80" spans="1:11">
      <c r="A80" t="s">
        <v>107</v>
      </c>
      <c r="B80" s="1">
        <v>45617</v>
      </c>
      <c r="C80" t="s">
        <v>26</v>
      </c>
      <c r="D80" t="s">
        <v>33</v>
      </c>
      <c r="E80" t="s">
        <v>23</v>
      </c>
      <c r="F80">
        <v>5</v>
      </c>
      <c r="G80">
        <v>38.78</v>
      </c>
      <c r="H80">
        <v>10</v>
      </c>
      <c r="I80">
        <v>174.51</v>
      </c>
      <c r="J80">
        <v>20.59</v>
      </c>
      <c r="K80" t="s">
        <v>15</v>
      </c>
    </row>
    <row r="81" spans="1:11">
      <c r="A81" t="s">
        <v>108</v>
      </c>
      <c r="B81" s="1">
        <v>45539</v>
      </c>
      <c r="C81" t="s">
        <v>26</v>
      </c>
      <c r="D81" t="s">
        <v>18</v>
      </c>
      <c r="E81" t="s">
        <v>31</v>
      </c>
      <c r="F81">
        <v>4</v>
      </c>
      <c r="G81">
        <v>95.15</v>
      </c>
      <c r="H81">
        <v>20</v>
      </c>
      <c r="I81">
        <v>304.48</v>
      </c>
      <c r="J81">
        <v>23.5</v>
      </c>
      <c r="K81" t="s">
        <v>34</v>
      </c>
    </row>
    <row r="82" spans="1:11">
      <c r="A82" t="s">
        <v>109</v>
      </c>
      <c r="B82" s="1">
        <v>45522</v>
      </c>
      <c r="C82" t="s">
        <v>12</v>
      </c>
      <c r="D82" t="s">
        <v>18</v>
      </c>
      <c r="E82" t="s">
        <v>31</v>
      </c>
      <c r="F82">
        <v>7</v>
      </c>
      <c r="G82">
        <v>190.89</v>
      </c>
      <c r="H82">
        <v>0</v>
      </c>
      <c r="I82">
        <v>1336.23</v>
      </c>
      <c r="J82">
        <v>2.66</v>
      </c>
      <c r="K82" t="s">
        <v>34</v>
      </c>
    </row>
    <row r="83" spans="1:11">
      <c r="A83" t="s">
        <v>110</v>
      </c>
      <c r="B83" s="1">
        <v>45385</v>
      </c>
      <c r="C83" t="s">
        <v>26</v>
      </c>
      <c r="D83" t="s">
        <v>33</v>
      </c>
      <c r="E83" t="s">
        <v>14</v>
      </c>
      <c r="F83">
        <v>6</v>
      </c>
      <c r="G83">
        <v>734.22</v>
      </c>
      <c r="H83">
        <v>0</v>
      </c>
      <c r="I83">
        <v>4405.32</v>
      </c>
      <c r="J83">
        <v>22.25</v>
      </c>
      <c r="K83" t="s">
        <v>34</v>
      </c>
    </row>
    <row r="84" spans="1:11">
      <c r="A84" t="s">
        <v>111</v>
      </c>
      <c r="B84" s="1">
        <v>45576</v>
      </c>
      <c r="C84" t="s">
        <v>12</v>
      </c>
      <c r="D84" t="s">
        <v>22</v>
      </c>
      <c r="E84" t="s">
        <v>36</v>
      </c>
      <c r="F84">
        <v>7</v>
      </c>
      <c r="G84">
        <v>9.7100000000000009</v>
      </c>
      <c r="H84">
        <v>5</v>
      </c>
      <c r="I84">
        <v>64.569999999999993</v>
      </c>
      <c r="J84">
        <v>14.77</v>
      </c>
      <c r="K84" t="s">
        <v>24</v>
      </c>
    </row>
    <row r="85" spans="1:11">
      <c r="A85" t="s">
        <v>112</v>
      </c>
      <c r="B85" s="1">
        <v>45645</v>
      </c>
      <c r="C85" t="s">
        <v>26</v>
      </c>
      <c r="D85" t="s">
        <v>18</v>
      </c>
      <c r="E85" t="s">
        <v>23</v>
      </c>
      <c r="F85">
        <v>2</v>
      </c>
      <c r="G85">
        <v>122.05</v>
      </c>
      <c r="H85">
        <v>0</v>
      </c>
      <c r="I85">
        <v>244.1</v>
      </c>
      <c r="J85">
        <v>7.1</v>
      </c>
      <c r="K85" t="s">
        <v>24</v>
      </c>
    </row>
    <row r="86" spans="1:11">
      <c r="A86" t="s">
        <v>113</v>
      </c>
      <c r="B86" s="1">
        <v>45448</v>
      </c>
      <c r="C86" t="s">
        <v>17</v>
      </c>
      <c r="D86" t="s">
        <v>22</v>
      </c>
      <c r="E86" t="s">
        <v>14</v>
      </c>
      <c r="F86">
        <v>6</v>
      </c>
      <c r="G86">
        <v>468.07</v>
      </c>
      <c r="H86">
        <v>5</v>
      </c>
      <c r="I86">
        <v>2668</v>
      </c>
      <c r="J86">
        <v>24.92</v>
      </c>
      <c r="K86" t="s">
        <v>15</v>
      </c>
    </row>
    <row r="87" spans="1:11">
      <c r="A87" t="s">
        <v>114</v>
      </c>
      <c r="B87" s="1">
        <v>45461</v>
      </c>
      <c r="C87" t="s">
        <v>26</v>
      </c>
      <c r="D87" t="s">
        <v>18</v>
      </c>
      <c r="E87" t="s">
        <v>14</v>
      </c>
      <c r="F87">
        <v>4</v>
      </c>
      <c r="G87">
        <v>331.43</v>
      </c>
      <c r="H87">
        <v>0</v>
      </c>
      <c r="I87">
        <v>1325.72</v>
      </c>
      <c r="J87">
        <v>18.59</v>
      </c>
      <c r="K87" t="s">
        <v>34</v>
      </c>
    </row>
    <row r="88" spans="1:11">
      <c r="A88" t="s">
        <v>115</v>
      </c>
      <c r="B88" s="1">
        <v>45353</v>
      </c>
      <c r="C88" t="s">
        <v>17</v>
      </c>
      <c r="D88" t="s">
        <v>22</v>
      </c>
      <c r="E88" t="s">
        <v>36</v>
      </c>
      <c r="F88">
        <v>8</v>
      </c>
      <c r="G88">
        <v>15.53</v>
      </c>
      <c r="H88">
        <v>0</v>
      </c>
      <c r="I88">
        <v>124.24</v>
      </c>
      <c r="J88">
        <v>18.670000000000002</v>
      </c>
      <c r="K88" t="s">
        <v>15</v>
      </c>
    </row>
    <row r="89" spans="1:11">
      <c r="A89" t="s">
        <v>116</v>
      </c>
      <c r="B89" s="1">
        <v>45597</v>
      </c>
      <c r="C89" t="s">
        <v>26</v>
      </c>
      <c r="D89" t="s">
        <v>13</v>
      </c>
      <c r="E89" t="s">
        <v>36</v>
      </c>
      <c r="F89">
        <v>6</v>
      </c>
      <c r="G89">
        <v>21.29</v>
      </c>
      <c r="H89">
        <v>0</v>
      </c>
      <c r="I89">
        <v>127.74</v>
      </c>
      <c r="J89">
        <v>8.9499999999999993</v>
      </c>
      <c r="K89" t="s">
        <v>15</v>
      </c>
    </row>
    <row r="90" spans="1:11">
      <c r="A90" t="s">
        <v>117</v>
      </c>
      <c r="B90" s="1">
        <v>45356</v>
      </c>
      <c r="C90" t="s">
        <v>26</v>
      </c>
      <c r="D90" t="s">
        <v>13</v>
      </c>
      <c r="E90" t="s">
        <v>19</v>
      </c>
      <c r="F90">
        <v>3</v>
      </c>
      <c r="G90">
        <v>299.01</v>
      </c>
      <c r="H90">
        <v>15</v>
      </c>
      <c r="I90">
        <v>762.48</v>
      </c>
      <c r="J90">
        <v>21.97</v>
      </c>
      <c r="K90" t="s">
        <v>29</v>
      </c>
    </row>
    <row r="91" spans="1:11">
      <c r="A91" t="s">
        <v>118</v>
      </c>
      <c r="B91" s="1">
        <v>45344</v>
      </c>
      <c r="C91" t="s">
        <v>12</v>
      </c>
      <c r="D91" t="s">
        <v>22</v>
      </c>
      <c r="E91" t="s">
        <v>14</v>
      </c>
      <c r="F91">
        <v>8</v>
      </c>
      <c r="G91">
        <v>464.91</v>
      </c>
      <c r="H91">
        <v>0</v>
      </c>
      <c r="I91">
        <v>3719.28</v>
      </c>
      <c r="J91">
        <v>6.24</v>
      </c>
      <c r="K91" t="s">
        <v>20</v>
      </c>
    </row>
    <row r="92" spans="1:11">
      <c r="A92" t="s">
        <v>119</v>
      </c>
      <c r="B92" s="1">
        <v>45421</v>
      </c>
      <c r="C92" t="s">
        <v>26</v>
      </c>
      <c r="D92" t="s">
        <v>13</v>
      </c>
      <c r="E92" t="s">
        <v>19</v>
      </c>
      <c r="F92">
        <v>2</v>
      </c>
      <c r="G92">
        <v>230.32</v>
      </c>
      <c r="H92">
        <v>10</v>
      </c>
      <c r="I92">
        <v>414.58</v>
      </c>
      <c r="J92">
        <v>16.48</v>
      </c>
      <c r="K92" t="s">
        <v>20</v>
      </c>
    </row>
    <row r="93" spans="1:11">
      <c r="A93" t="s">
        <v>120</v>
      </c>
      <c r="B93" s="1">
        <v>45369</v>
      </c>
      <c r="C93" t="s">
        <v>12</v>
      </c>
      <c r="D93" t="s">
        <v>22</v>
      </c>
      <c r="E93" t="s">
        <v>14</v>
      </c>
      <c r="F93">
        <v>4</v>
      </c>
      <c r="G93">
        <v>149.85</v>
      </c>
      <c r="H93">
        <v>0</v>
      </c>
      <c r="I93">
        <v>599.4</v>
      </c>
      <c r="J93">
        <v>14.84</v>
      </c>
      <c r="K93" t="s">
        <v>29</v>
      </c>
    </row>
    <row r="94" spans="1:11">
      <c r="A94" t="s">
        <v>121</v>
      </c>
      <c r="B94" s="1">
        <v>45602</v>
      </c>
      <c r="C94" t="s">
        <v>17</v>
      </c>
      <c r="D94" t="s">
        <v>22</v>
      </c>
      <c r="E94" t="s">
        <v>36</v>
      </c>
      <c r="F94">
        <v>7</v>
      </c>
      <c r="G94">
        <v>47.66</v>
      </c>
      <c r="H94">
        <v>5</v>
      </c>
      <c r="I94">
        <v>316.94</v>
      </c>
      <c r="J94">
        <v>22.9</v>
      </c>
      <c r="K94" t="s">
        <v>34</v>
      </c>
    </row>
    <row r="95" spans="1:11">
      <c r="A95" t="s">
        <v>122</v>
      </c>
      <c r="B95" s="1">
        <v>45593</v>
      </c>
      <c r="C95" t="s">
        <v>26</v>
      </c>
      <c r="D95" t="s">
        <v>27</v>
      </c>
      <c r="E95" t="s">
        <v>31</v>
      </c>
      <c r="F95">
        <v>2</v>
      </c>
      <c r="G95">
        <v>193.89</v>
      </c>
      <c r="H95">
        <v>20</v>
      </c>
      <c r="I95">
        <v>310.22000000000003</v>
      </c>
      <c r="J95">
        <v>6.78</v>
      </c>
      <c r="K95" t="s">
        <v>24</v>
      </c>
    </row>
    <row r="96" spans="1:11">
      <c r="A96" t="s">
        <v>123</v>
      </c>
      <c r="B96" s="1">
        <v>45427</v>
      </c>
      <c r="C96" t="s">
        <v>17</v>
      </c>
      <c r="D96" t="s">
        <v>13</v>
      </c>
      <c r="E96" t="s">
        <v>36</v>
      </c>
      <c r="F96">
        <v>2</v>
      </c>
      <c r="G96">
        <v>18.190000000000001</v>
      </c>
      <c r="H96">
        <v>0</v>
      </c>
      <c r="I96">
        <v>36.380000000000003</v>
      </c>
      <c r="J96">
        <v>2.06</v>
      </c>
      <c r="K96" t="s">
        <v>29</v>
      </c>
    </row>
    <row r="97" spans="1:11">
      <c r="A97" t="s">
        <v>124</v>
      </c>
      <c r="B97" s="1">
        <v>45644</v>
      </c>
      <c r="C97" t="s">
        <v>17</v>
      </c>
      <c r="D97" t="s">
        <v>18</v>
      </c>
      <c r="E97" t="s">
        <v>14</v>
      </c>
      <c r="F97">
        <v>5</v>
      </c>
      <c r="G97">
        <v>106.76</v>
      </c>
      <c r="H97">
        <v>15</v>
      </c>
      <c r="I97">
        <v>453.73</v>
      </c>
      <c r="J97">
        <v>8.5</v>
      </c>
      <c r="K97" t="s">
        <v>29</v>
      </c>
    </row>
    <row r="98" spans="1:11">
      <c r="A98" t="s">
        <v>125</v>
      </c>
      <c r="B98" s="1">
        <v>45328</v>
      </c>
      <c r="C98" t="s">
        <v>17</v>
      </c>
      <c r="D98" t="s">
        <v>33</v>
      </c>
      <c r="E98" t="s">
        <v>14</v>
      </c>
      <c r="F98">
        <v>4</v>
      </c>
      <c r="G98">
        <v>726.02</v>
      </c>
      <c r="H98">
        <v>5</v>
      </c>
      <c r="I98">
        <v>2758.88</v>
      </c>
      <c r="J98">
        <v>4.6399999999999997</v>
      </c>
      <c r="K98" t="s">
        <v>24</v>
      </c>
    </row>
    <row r="99" spans="1:11">
      <c r="A99" t="s">
        <v>126</v>
      </c>
      <c r="B99" s="1">
        <v>45623</v>
      </c>
      <c r="C99" t="s">
        <v>12</v>
      </c>
      <c r="D99" t="s">
        <v>27</v>
      </c>
      <c r="E99" t="s">
        <v>36</v>
      </c>
      <c r="F99">
        <v>3</v>
      </c>
      <c r="G99">
        <v>8.93</v>
      </c>
      <c r="H99">
        <v>20</v>
      </c>
      <c r="I99">
        <v>21.43</v>
      </c>
      <c r="J99">
        <v>9.08</v>
      </c>
      <c r="K99" t="s">
        <v>15</v>
      </c>
    </row>
    <row r="100" spans="1:11">
      <c r="A100" t="s">
        <v>127</v>
      </c>
      <c r="B100" s="1">
        <v>45439</v>
      </c>
      <c r="C100" t="s">
        <v>26</v>
      </c>
      <c r="D100" t="s">
        <v>13</v>
      </c>
      <c r="E100" t="s">
        <v>23</v>
      </c>
      <c r="F100">
        <v>7</v>
      </c>
      <c r="G100">
        <v>107.97</v>
      </c>
      <c r="H100">
        <v>0</v>
      </c>
      <c r="I100">
        <v>755.79</v>
      </c>
      <c r="J100">
        <v>13.51</v>
      </c>
      <c r="K100" t="s">
        <v>29</v>
      </c>
    </row>
    <row r="101" spans="1:11">
      <c r="A101" t="s">
        <v>128</v>
      </c>
      <c r="B101" s="1">
        <v>45516</v>
      </c>
      <c r="C101" t="s">
        <v>12</v>
      </c>
      <c r="D101" t="s">
        <v>22</v>
      </c>
      <c r="E101" t="s">
        <v>19</v>
      </c>
      <c r="F101">
        <v>6</v>
      </c>
      <c r="G101">
        <v>450.24</v>
      </c>
      <c r="H101">
        <v>10</v>
      </c>
      <c r="I101">
        <v>2431.3000000000002</v>
      </c>
      <c r="J101">
        <v>7.76</v>
      </c>
      <c r="K101" t="s">
        <v>20</v>
      </c>
    </row>
    <row r="102" spans="1:11">
      <c r="A102" t="s">
        <v>129</v>
      </c>
      <c r="B102" s="1">
        <v>45409</v>
      </c>
      <c r="C102" t="s">
        <v>17</v>
      </c>
      <c r="D102" t="s">
        <v>22</v>
      </c>
      <c r="E102" t="s">
        <v>31</v>
      </c>
      <c r="F102">
        <v>5</v>
      </c>
      <c r="G102">
        <v>286.22000000000003</v>
      </c>
      <c r="H102">
        <v>10</v>
      </c>
      <c r="I102">
        <v>1287.99</v>
      </c>
      <c r="J102">
        <v>2.93</v>
      </c>
      <c r="K102" t="s">
        <v>24</v>
      </c>
    </row>
    <row r="103" spans="1:11">
      <c r="A103" t="s">
        <v>130</v>
      </c>
      <c r="B103" s="1">
        <v>45532</v>
      </c>
      <c r="C103" t="s">
        <v>17</v>
      </c>
      <c r="D103" t="s">
        <v>18</v>
      </c>
      <c r="E103" t="s">
        <v>14</v>
      </c>
      <c r="F103">
        <v>7</v>
      </c>
      <c r="G103">
        <v>228.82</v>
      </c>
      <c r="H103">
        <v>15</v>
      </c>
      <c r="I103">
        <v>1361.48</v>
      </c>
      <c r="J103">
        <v>20.73</v>
      </c>
      <c r="K103" t="s">
        <v>20</v>
      </c>
    </row>
    <row r="104" spans="1:11">
      <c r="A104" t="s">
        <v>131</v>
      </c>
      <c r="B104" s="1">
        <v>45532</v>
      </c>
      <c r="C104" t="s">
        <v>26</v>
      </c>
      <c r="D104" t="s">
        <v>18</v>
      </c>
      <c r="E104" t="s">
        <v>14</v>
      </c>
      <c r="F104">
        <v>2</v>
      </c>
      <c r="G104">
        <v>343.27</v>
      </c>
      <c r="H104">
        <v>20</v>
      </c>
      <c r="I104">
        <v>549.23</v>
      </c>
      <c r="J104">
        <v>5.7</v>
      </c>
      <c r="K104" t="s">
        <v>29</v>
      </c>
    </row>
    <row r="105" spans="1:11">
      <c r="A105" t="s">
        <v>132</v>
      </c>
      <c r="B105" s="1">
        <v>45647</v>
      </c>
      <c r="C105" t="s">
        <v>26</v>
      </c>
      <c r="D105" t="s">
        <v>27</v>
      </c>
      <c r="E105" t="s">
        <v>23</v>
      </c>
      <c r="F105">
        <v>1</v>
      </c>
      <c r="G105">
        <v>124.83</v>
      </c>
      <c r="H105">
        <v>5</v>
      </c>
      <c r="I105">
        <v>118.59</v>
      </c>
      <c r="J105">
        <v>4.03</v>
      </c>
      <c r="K105" t="s">
        <v>34</v>
      </c>
    </row>
    <row r="106" spans="1:11">
      <c r="A106" t="s">
        <v>133</v>
      </c>
      <c r="B106" s="1">
        <v>45457</v>
      </c>
      <c r="C106" t="s">
        <v>12</v>
      </c>
      <c r="D106" t="s">
        <v>18</v>
      </c>
      <c r="E106" t="s">
        <v>31</v>
      </c>
      <c r="F106">
        <v>1</v>
      </c>
      <c r="G106">
        <v>250.98</v>
      </c>
      <c r="H106">
        <v>15</v>
      </c>
      <c r="I106">
        <v>213.33</v>
      </c>
      <c r="J106">
        <v>22</v>
      </c>
      <c r="K106" t="s">
        <v>29</v>
      </c>
    </row>
    <row r="107" spans="1:11">
      <c r="A107" t="s">
        <v>134</v>
      </c>
      <c r="B107" s="1">
        <v>45503</v>
      </c>
      <c r="C107" t="s">
        <v>12</v>
      </c>
      <c r="D107" t="s">
        <v>33</v>
      </c>
      <c r="E107" t="s">
        <v>31</v>
      </c>
      <c r="F107">
        <v>8</v>
      </c>
      <c r="G107">
        <v>121.3</v>
      </c>
      <c r="H107">
        <v>15</v>
      </c>
      <c r="I107">
        <v>824.84</v>
      </c>
      <c r="J107">
        <v>12.17</v>
      </c>
      <c r="K107" t="s">
        <v>20</v>
      </c>
    </row>
    <row r="108" spans="1:11">
      <c r="A108" t="s">
        <v>135</v>
      </c>
      <c r="B108" s="1">
        <v>45396</v>
      </c>
      <c r="C108" t="s">
        <v>26</v>
      </c>
      <c r="D108" t="s">
        <v>22</v>
      </c>
      <c r="E108" t="s">
        <v>36</v>
      </c>
      <c r="F108">
        <v>8</v>
      </c>
      <c r="G108">
        <v>56.02</v>
      </c>
      <c r="H108">
        <v>15</v>
      </c>
      <c r="I108">
        <v>380.94</v>
      </c>
      <c r="J108">
        <v>13.15</v>
      </c>
      <c r="K108" t="s">
        <v>20</v>
      </c>
    </row>
    <row r="109" spans="1:11">
      <c r="A109" t="s">
        <v>136</v>
      </c>
      <c r="B109" s="1">
        <v>45614</v>
      </c>
      <c r="C109" t="s">
        <v>17</v>
      </c>
      <c r="D109" t="s">
        <v>33</v>
      </c>
      <c r="E109" t="s">
        <v>36</v>
      </c>
      <c r="F109">
        <v>1</v>
      </c>
      <c r="G109">
        <v>22.09</v>
      </c>
      <c r="H109">
        <v>10</v>
      </c>
      <c r="I109">
        <v>19.88</v>
      </c>
      <c r="J109">
        <v>11.38</v>
      </c>
      <c r="K109" t="s">
        <v>24</v>
      </c>
    </row>
    <row r="110" spans="1:11">
      <c r="A110" t="s">
        <v>137</v>
      </c>
      <c r="B110" s="1">
        <v>45350</v>
      </c>
      <c r="C110" t="s">
        <v>26</v>
      </c>
      <c r="D110" t="s">
        <v>13</v>
      </c>
      <c r="E110" t="s">
        <v>36</v>
      </c>
      <c r="F110">
        <v>5</v>
      </c>
      <c r="G110">
        <v>32.409999999999997</v>
      </c>
      <c r="H110">
        <v>10</v>
      </c>
      <c r="I110">
        <v>145.85</v>
      </c>
      <c r="J110">
        <v>18.22</v>
      </c>
      <c r="K110" t="s">
        <v>29</v>
      </c>
    </row>
    <row r="111" spans="1:11">
      <c r="A111" t="s">
        <v>138</v>
      </c>
      <c r="B111" s="1">
        <v>45539</v>
      </c>
      <c r="C111" t="s">
        <v>26</v>
      </c>
      <c r="D111" t="s">
        <v>33</v>
      </c>
      <c r="E111" t="s">
        <v>23</v>
      </c>
      <c r="F111">
        <v>7</v>
      </c>
      <c r="G111">
        <v>89.42</v>
      </c>
      <c r="H111">
        <v>0</v>
      </c>
      <c r="I111">
        <v>625.94000000000005</v>
      </c>
      <c r="J111">
        <v>23.2</v>
      </c>
      <c r="K111" t="s">
        <v>15</v>
      </c>
    </row>
    <row r="112" spans="1:11">
      <c r="A112" t="s">
        <v>139</v>
      </c>
      <c r="B112" s="1">
        <v>45361</v>
      </c>
      <c r="C112" t="s">
        <v>12</v>
      </c>
      <c r="D112" t="s">
        <v>27</v>
      </c>
      <c r="E112" t="s">
        <v>23</v>
      </c>
      <c r="F112">
        <v>5</v>
      </c>
      <c r="G112">
        <v>60.88</v>
      </c>
      <c r="H112">
        <v>20</v>
      </c>
      <c r="I112">
        <v>243.52</v>
      </c>
      <c r="J112">
        <v>2.06</v>
      </c>
      <c r="K112" t="s">
        <v>34</v>
      </c>
    </row>
    <row r="113" spans="1:11">
      <c r="A113" t="s">
        <v>140</v>
      </c>
      <c r="B113" s="1">
        <v>45592</v>
      </c>
      <c r="C113" t="s">
        <v>17</v>
      </c>
      <c r="D113" t="s">
        <v>18</v>
      </c>
      <c r="E113" t="s">
        <v>36</v>
      </c>
      <c r="F113">
        <v>8</v>
      </c>
      <c r="G113">
        <v>29.56</v>
      </c>
      <c r="H113">
        <v>0</v>
      </c>
      <c r="I113">
        <v>236.48</v>
      </c>
      <c r="J113">
        <v>9.65</v>
      </c>
      <c r="K113" t="s">
        <v>15</v>
      </c>
    </row>
    <row r="114" spans="1:11">
      <c r="A114" t="s">
        <v>141</v>
      </c>
      <c r="B114" s="1">
        <v>45485</v>
      </c>
      <c r="C114" t="s">
        <v>26</v>
      </c>
      <c r="D114" t="s">
        <v>27</v>
      </c>
      <c r="E114" t="s">
        <v>36</v>
      </c>
      <c r="F114">
        <v>4</v>
      </c>
      <c r="G114">
        <v>58.94</v>
      </c>
      <c r="H114">
        <v>10</v>
      </c>
      <c r="I114">
        <v>212.18</v>
      </c>
      <c r="J114">
        <v>10.81</v>
      </c>
      <c r="K114" t="s">
        <v>29</v>
      </c>
    </row>
    <row r="115" spans="1:11">
      <c r="A115" t="s">
        <v>142</v>
      </c>
      <c r="B115" s="1">
        <v>45314</v>
      </c>
      <c r="C115" t="s">
        <v>26</v>
      </c>
      <c r="D115" t="s">
        <v>18</v>
      </c>
      <c r="E115" t="s">
        <v>23</v>
      </c>
      <c r="F115">
        <v>3</v>
      </c>
      <c r="G115">
        <v>67.12</v>
      </c>
      <c r="H115">
        <v>5</v>
      </c>
      <c r="I115">
        <v>191.29</v>
      </c>
      <c r="J115">
        <v>24.19</v>
      </c>
      <c r="K115" t="s">
        <v>24</v>
      </c>
    </row>
    <row r="116" spans="1:11">
      <c r="A116" t="s">
        <v>143</v>
      </c>
      <c r="B116" s="1">
        <v>45549</v>
      </c>
      <c r="C116" t="s">
        <v>17</v>
      </c>
      <c r="D116" t="s">
        <v>27</v>
      </c>
      <c r="E116" t="s">
        <v>19</v>
      </c>
      <c r="F116">
        <v>8</v>
      </c>
      <c r="G116">
        <v>443.39</v>
      </c>
      <c r="H116">
        <v>0</v>
      </c>
      <c r="I116">
        <v>3547.12</v>
      </c>
      <c r="J116">
        <v>14.1</v>
      </c>
      <c r="K116" t="s">
        <v>29</v>
      </c>
    </row>
    <row r="117" spans="1:11">
      <c r="A117" t="s">
        <v>144</v>
      </c>
      <c r="B117" s="1">
        <v>45299</v>
      </c>
      <c r="C117" t="s">
        <v>17</v>
      </c>
      <c r="D117" t="s">
        <v>33</v>
      </c>
      <c r="E117" t="s">
        <v>23</v>
      </c>
      <c r="F117">
        <v>3</v>
      </c>
      <c r="G117">
        <v>132.58000000000001</v>
      </c>
      <c r="H117">
        <v>0</v>
      </c>
      <c r="I117">
        <v>397.74</v>
      </c>
      <c r="J117">
        <v>12.8</v>
      </c>
      <c r="K117" t="s">
        <v>34</v>
      </c>
    </row>
    <row r="118" spans="1:11">
      <c r="A118" t="s">
        <v>145</v>
      </c>
      <c r="B118" s="1">
        <v>45465</v>
      </c>
      <c r="C118" t="s">
        <v>17</v>
      </c>
      <c r="D118" t="s">
        <v>18</v>
      </c>
      <c r="E118" t="s">
        <v>19</v>
      </c>
      <c r="F118">
        <v>7</v>
      </c>
      <c r="G118">
        <v>433.29</v>
      </c>
      <c r="H118">
        <v>0</v>
      </c>
      <c r="I118">
        <v>3033.03</v>
      </c>
      <c r="J118">
        <v>16.420000000000002</v>
      </c>
      <c r="K118" t="s">
        <v>29</v>
      </c>
    </row>
    <row r="119" spans="1:11">
      <c r="A119" t="s">
        <v>146</v>
      </c>
      <c r="B119" s="1">
        <v>45569</v>
      </c>
      <c r="C119" t="s">
        <v>12</v>
      </c>
      <c r="D119" t="s">
        <v>22</v>
      </c>
      <c r="E119" t="s">
        <v>19</v>
      </c>
      <c r="F119">
        <v>5</v>
      </c>
      <c r="G119">
        <v>155.65</v>
      </c>
      <c r="H119">
        <v>0</v>
      </c>
      <c r="I119">
        <v>778.25</v>
      </c>
      <c r="J119">
        <v>19.18</v>
      </c>
      <c r="K119" t="s">
        <v>29</v>
      </c>
    </row>
    <row r="120" spans="1:11">
      <c r="A120" t="s">
        <v>147</v>
      </c>
      <c r="B120" s="1">
        <v>45342</v>
      </c>
      <c r="C120" t="s">
        <v>17</v>
      </c>
      <c r="D120" t="s">
        <v>13</v>
      </c>
      <c r="E120" t="s">
        <v>23</v>
      </c>
      <c r="F120">
        <v>5</v>
      </c>
      <c r="G120">
        <v>37.46</v>
      </c>
      <c r="H120">
        <v>0</v>
      </c>
      <c r="I120">
        <v>187.3</v>
      </c>
      <c r="J120">
        <v>3.06</v>
      </c>
      <c r="K120" t="s">
        <v>20</v>
      </c>
    </row>
    <row r="121" spans="1:11">
      <c r="A121" t="s">
        <v>148</v>
      </c>
      <c r="B121" s="1">
        <v>45442</v>
      </c>
      <c r="C121" t="s">
        <v>26</v>
      </c>
      <c r="D121" t="s">
        <v>27</v>
      </c>
      <c r="E121" t="s">
        <v>23</v>
      </c>
      <c r="F121">
        <v>7</v>
      </c>
      <c r="G121">
        <v>34.65</v>
      </c>
      <c r="H121">
        <v>10</v>
      </c>
      <c r="I121">
        <v>218.3</v>
      </c>
      <c r="J121">
        <v>17.68</v>
      </c>
      <c r="K1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523-39DB-4F68-BA62-EBCA4ABF4E19}">
  <dimension ref="A1:D12"/>
  <sheetViews>
    <sheetView workbookViewId="0">
      <selection activeCell="C16" sqref="C16"/>
    </sheetView>
  </sheetViews>
  <sheetFormatPr defaultRowHeight="15.6"/>
  <cols>
    <col min="1" max="4" width="26" style="3" customWidth="1"/>
  </cols>
  <sheetData>
    <row r="1" spans="1:4">
      <c r="A1" s="4" t="s">
        <v>149</v>
      </c>
      <c r="B1" s="4" t="s">
        <v>150</v>
      </c>
      <c r="C1" s="4" t="s">
        <v>151</v>
      </c>
      <c r="D1" s="4" t="s">
        <v>152</v>
      </c>
    </row>
    <row r="2" spans="1:4" ht="31.2">
      <c r="A2" s="5" t="s">
        <v>0</v>
      </c>
      <c r="B2" s="5" t="s">
        <v>153</v>
      </c>
      <c r="C2" s="5" t="s">
        <v>154</v>
      </c>
      <c r="D2" s="5" t="s">
        <v>11</v>
      </c>
    </row>
    <row r="3" spans="1:4">
      <c r="A3" s="5" t="s">
        <v>1</v>
      </c>
      <c r="B3" s="5" t="s">
        <v>155</v>
      </c>
      <c r="C3" s="5" t="s">
        <v>156</v>
      </c>
      <c r="D3" s="6">
        <v>45619</v>
      </c>
    </row>
    <row r="4" spans="1:4">
      <c r="A4" s="5" t="s">
        <v>2</v>
      </c>
      <c r="B4" s="5" t="s">
        <v>153</v>
      </c>
      <c r="C4" s="5" t="s">
        <v>157</v>
      </c>
      <c r="D4" s="5" t="s">
        <v>12</v>
      </c>
    </row>
    <row r="5" spans="1:4">
      <c r="A5" s="5" t="s">
        <v>3</v>
      </c>
      <c r="B5" s="5" t="s">
        <v>153</v>
      </c>
      <c r="C5" s="5" t="s">
        <v>158</v>
      </c>
      <c r="D5" s="5" t="s">
        <v>13</v>
      </c>
    </row>
    <row r="6" spans="1:4">
      <c r="A6" s="5" t="s">
        <v>4</v>
      </c>
      <c r="B6" s="5" t="s">
        <v>153</v>
      </c>
      <c r="C6" s="5" t="s">
        <v>159</v>
      </c>
      <c r="D6" s="5" t="s">
        <v>14</v>
      </c>
    </row>
    <row r="7" spans="1:4">
      <c r="A7" s="5" t="s">
        <v>5</v>
      </c>
      <c r="B7" s="5" t="s">
        <v>160</v>
      </c>
      <c r="C7" s="5" t="s">
        <v>161</v>
      </c>
      <c r="D7" s="5">
        <v>3</v>
      </c>
    </row>
    <row r="8" spans="1:4">
      <c r="A8" s="5" t="s">
        <v>6</v>
      </c>
      <c r="B8" s="5" t="s">
        <v>162</v>
      </c>
      <c r="C8" s="5" t="s">
        <v>163</v>
      </c>
      <c r="D8" s="5" t="s">
        <v>164</v>
      </c>
    </row>
    <row r="9" spans="1:4">
      <c r="A9" s="5" t="s">
        <v>7</v>
      </c>
      <c r="B9" s="5" t="s">
        <v>160</v>
      </c>
      <c r="C9" s="5" t="s">
        <v>165</v>
      </c>
      <c r="D9" s="5">
        <v>15</v>
      </c>
    </row>
    <row r="10" spans="1:4" ht="31.2">
      <c r="A10" s="5" t="s">
        <v>8</v>
      </c>
      <c r="B10" s="5" t="s">
        <v>162</v>
      </c>
      <c r="C10" s="5" t="s">
        <v>166</v>
      </c>
      <c r="D10" s="5" t="s">
        <v>167</v>
      </c>
    </row>
    <row r="11" spans="1:4">
      <c r="A11" s="5" t="s">
        <v>9</v>
      </c>
      <c r="B11" s="5" t="s">
        <v>162</v>
      </c>
      <c r="C11" s="5" t="s">
        <v>168</v>
      </c>
      <c r="D11" s="5" t="s">
        <v>169</v>
      </c>
    </row>
    <row r="12" spans="1:4">
      <c r="A12" s="5" t="s">
        <v>10</v>
      </c>
      <c r="B12" s="5" t="s">
        <v>153</v>
      </c>
      <c r="C12" s="5" t="s">
        <v>170</v>
      </c>
      <c r="D12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1834-AD9F-43FE-AA02-4386F3D8A4BA}">
  <dimension ref="A1:Q121"/>
  <sheetViews>
    <sheetView topLeftCell="A95" zoomScale="75" workbookViewId="0">
      <selection activeCell="C3" sqref="C3"/>
    </sheetView>
  </sheetViews>
  <sheetFormatPr defaultRowHeight="14.4"/>
  <cols>
    <col min="1" max="1" width="9.33203125" bestFit="1" customWidth="1"/>
    <col min="2" max="2" width="10.33203125" bestFit="1" customWidth="1"/>
    <col min="3" max="3" width="16" bestFit="1" customWidth="1"/>
    <col min="4" max="4" width="6.88671875" bestFit="1" customWidth="1"/>
    <col min="5" max="5" width="14.77734375" bestFit="1" customWidth="1"/>
    <col min="6" max="6" width="8" bestFit="1" customWidth="1"/>
    <col min="7" max="7" width="8.44140625" bestFit="1" customWidth="1"/>
    <col min="8" max="8" width="14.44140625" bestFit="1" customWidth="1"/>
    <col min="9" max="9" width="10.21875" bestFit="1" customWidth="1"/>
    <col min="10" max="10" width="11.33203125" bestFit="1" customWidth="1"/>
    <col min="11" max="12" width="14.6640625" bestFit="1" customWidth="1"/>
    <col min="13" max="13" width="11.33203125" bestFit="1" customWidth="1"/>
    <col min="14" max="14" width="15.109375" bestFit="1" customWidth="1"/>
    <col min="15" max="15" width="11.21875" bestFit="1" customWidth="1"/>
    <col min="16" max="16" width="13.5546875" bestFit="1" customWidth="1"/>
    <col min="17" max="17" width="14.332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>
      <c r="A2" t="s">
        <v>11</v>
      </c>
      <c r="B2" s="1">
        <v>45619</v>
      </c>
      <c r="C2" t="s">
        <v>12</v>
      </c>
      <c r="D2" t="s">
        <v>13</v>
      </c>
      <c r="E2" t="s">
        <v>14</v>
      </c>
      <c r="F2">
        <v>3</v>
      </c>
      <c r="G2">
        <v>280.81</v>
      </c>
      <c r="H2">
        <v>15</v>
      </c>
      <c r="I2">
        <v>716.07</v>
      </c>
      <c r="J2">
        <v>4.3600000000000003</v>
      </c>
      <c r="K2" t="s">
        <v>15</v>
      </c>
      <c r="L2" t="str">
        <f>IF(COUNTIF($A$2:$A$121, A2)&gt;1, "Duplicate", "OK")</f>
        <v>OK</v>
      </c>
      <c r="M2" t="str">
        <f>IF(COUNTBLANK(A2:K2)&gt;0, "Missing Value", "OK")</f>
        <v>OK</v>
      </c>
      <c r="N2" t="str">
        <f>PROPER(C2)</f>
        <v>Consumer</v>
      </c>
      <c r="O2">
        <f>ROUND(F2 * G2 * (1 - H2/100), 2)</f>
        <v>716.07</v>
      </c>
      <c r="P2" t="str">
        <f>IF(ABS(O2 - I2) &gt; 0.01, "Check", "OK")</f>
        <v>OK</v>
      </c>
      <c r="Q2" t="str">
        <f>IF(AND(L2="OK", M2="OK", P2="OK"), "Clean: No issues", "Review needed")</f>
        <v>Clean: No issues</v>
      </c>
    </row>
    <row r="3" spans="1:17">
      <c r="A3" t="s">
        <v>16</v>
      </c>
      <c r="B3" s="1">
        <v>45336</v>
      </c>
      <c r="C3" t="s">
        <v>17</v>
      </c>
      <c r="D3" t="s">
        <v>18</v>
      </c>
      <c r="E3" t="s">
        <v>19</v>
      </c>
      <c r="F3">
        <v>4</v>
      </c>
      <c r="G3">
        <v>63.41</v>
      </c>
      <c r="H3">
        <v>0</v>
      </c>
      <c r="I3">
        <v>253.64</v>
      </c>
      <c r="J3">
        <v>13.62</v>
      </c>
      <c r="K3" t="s">
        <v>20</v>
      </c>
      <c r="L3" t="str">
        <f t="shared" ref="L3:L66" si="0">IF(COUNTIF($A$2:$A$121, A3)&gt;1, "Duplicate", "OK")</f>
        <v>OK</v>
      </c>
      <c r="M3" t="str">
        <f t="shared" ref="M3:M66" si="1">IF(COUNTBLANK(A3:K3)&gt;0, "Missing Value", "OK")</f>
        <v>OK</v>
      </c>
      <c r="N3" t="str">
        <f t="shared" ref="N3:N66" si="2">PROPER(C3)</f>
        <v>Corporate</v>
      </c>
      <c r="O3">
        <f t="shared" ref="O3:O66" si="3">ROUND(F3 * G3 * (1 - H3/100), 2)</f>
        <v>253.64</v>
      </c>
      <c r="P3" t="str">
        <f t="shared" ref="P3:P66" si="4">IF(ABS(O3 - I3) &gt; 0.01, "Check", "OK")</f>
        <v>OK</v>
      </c>
      <c r="Q3" t="str">
        <f t="shared" ref="Q3:Q66" si="5">IF(AND(L3="OK", M3="OK", P3="OK"), "Clean: No issues", "Review needed")</f>
        <v>Clean: No issues</v>
      </c>
    </row>
    <row r="4" spans="1:17">
      <c r="A4" t="s">
        <v>21</v>
      </c>
      <c r="B4" s="1">
        <v>45579</v>
      </c>
      <c r="C4" t="s">
        <v>12</v>
      </c>
      <c r="D4" t="s">
        <v>22</v>
      </c>
      <c r="E4" t="s">
        <v>23</v>
      </c>
      <c r="F4">
        <v>5</v>
      </c>
      <c r="G4">
        <v>44.76</v>
      </c>
      <c r="H4">
        <v>20</v>
      </c>
      <c r="I4">
        <v>179.04</v>
      </c>
      <c r="J4">
        <v>21.99</v>
      </c>
      <c r="K4" t="s">
        <v>24</v>
      </c>
      <c r="L4" t="str">
        <f t="shared" si="0"/>
        <v>OK</v>
      </c>
      <c r="M4" t="str">
        <f t="shared" si="1"/>
        <v>OK</v>
      </c>
      <c r="N4" t="str">
        <f t="shared" si="2"/>
        <v>Consumer</v>
      </c>
      <c r="O4">
        <f t="shared" si="3"/>
        <v>179.04</v>
      </c>
      <c r="P4" t="str">
        <f t="shared" si="4"/>
        <v>OK</v>
      </c>
      <c r="Q4" t="str">
        <f t="shared" si="5"/>
        <v>Clean: No issues</v>
      </c>
    </row>
    <row r="5" spans="1:17">
      <c r="A5" t="s">
        <v>25</v>
      </c>
      <c r="B5" s="1">
        <v>45649</v>
      </c>
      <c r="C5" t="s">
        <v>26</v>
      </c>
      <c r="D5" t="s">
        <v>27</v>
      </c>
      <c r="E5" t="s">
        <v>14</v>
      </c>
      <c r="F5">
        <v>6</v>
      </c>
      <c r="G5">
        <v>207.49</v>
      </c>
      <c r="H5">
        <v>0</v>
      </c>
      <c r="I5">
        <v>1244.94</v>
      </c>
      <c r="J5">
        <v>4.13</v>
      </c>
      <c r="K5" t="s">
        <v>20</v>
      </c>
      <c r="L5" t="str">
        <f t="shared" si="0"/>
        <v>OK</v>
      </c>
      <c r="M5" t="str">
        <f t="shared" si="1"/>
        <v>OK</v>
      </c>
      <c r="N5" t="str">
        <f t="shared" si="2"/>
        <v>Small Business</v>
      </c>
      <c r="O5">
        <f t="shared" si="3"/>
        <v>1244.94</v>
      </c>
      <c r="P5" t="str">
        <f t="shared" si="4"/>
        <v>OK</v>
      </c>
      <c r="Q5" t="str">
        <f t="shared" si="5"/>
        <v>Clean: No issues</v>
      </c>
    </row>
    <row r="6" spans="1:17">
      <c r="A6" t="s">
        <v>28</v>
      </c>
      <c r="B6" s="1">
        <v>45475</v>
      </c>
      <c r="C6" t="s">
        <v>26</v>
      </c>
      <c r="D6" t="s">
        <v>22</v>
      </c>
      <c r="E6" t="s">
        <v>14</v>
      </c>
      <c r="F6">
        <v>8</v>
      </c>
      <c r="G6">
        <v>741.85</v>
      </c>
      <c r="H6">
        <v>10</v>
      </c>
      <c r="I6">
        <v>5341.32</v>
      </c>
      <c r="J6">
        <v>4.87</v>
      </c>
      <c r="K6" t="s">
        <v>29</v>
      </c>
      <c r="L6" t="str">
        <f t="shared" si="0"/>
        <v>OK</v>
      </c>
      <c r="M6" t="str">
        <f t="shared" si="1"/>
        <v>OK</v>
      </c>
      <c r="N6" t="str">
        <f t="shared" si="2"/>
        <v>Small Business</v>
      </c>
      <c r="O6">
        <f t="shared" si="3"/>
        <v>5341.32</v>
      </c>
      <c r="P6" t="str">
        <f t="shared" si="4"/>
        <v>OK</v>
      </c>
      <c r="Q6" t="str">
        <f t="shared" si="5"/>
        <v>Clean: No issues</v>
      </c>
    </row>
    <row r="7" spans="1:17">
      <c r="A7" t="s">
        <v>30</v>
      </c>
      <c r="B7" s="1">
        <v>45332</v>
      </c>
      <c r="C7" t="s">
        <v>17</v>
      </c>
      <c r="D7" t="s">
        <v>27</v>
      </c>
      <c r="E7" t="s">
        <v>31</v>
      </c>
      <c r="F7">
        <v>6</v>
      </c>
      <c r="G7">
        <v>267.93</v>
      </c>
      <c r="H7">
        <v>10</v>
      </c>
      <c r="I7">
        <v>1446.82</v>
      </c>
      <c r="J7">
        <v>6.42</v>
      </c>
      <c r="K7" t="s">
        <v>20</v>
      </c>
      <c r="L7" t="str">
        <f t="shared" si="0"/>
        <v>OK</v>
      </c>
      <c r="M7" t="str">
        <f t="shared" si="1"/>
        <v>OK</v>
      </c>
      <c r="N7" t="str">
        <f t="shared" si="2"/>
        <v>Corporate</v>
      </c>
      <c r="O7">
        <f t="shared" si="3"/>
        <v>1446.82</v>
      </c>
      <c r="P7" t="str">
        <f t="shared" si="4"/>
        <v>OK</v>
      </c>
      <c r="Q7" t="str">
        <f t="shared" si="5"/>
        <v>Clean: No issues</v>
      </c>
    </row>
    <row r="8" spans="1:17">
      <c r="A8" t="s">
        <v>32</v>
      </c>
      <c r="B8" s="1">
        <v>45315</v>
      </c>
      <c r="C8" t="s">
        <v>17</v>
      </c>
      <c r="D8" t="s">
        <v>33</v>
      </c>
      <c r="E8" t="s">
        <v>14</v>
      </c>
      <c r="F8">
        <v>4</v>
      </c>
      <c r="G8">
        <v>887.88</v>
      </c>
      <c r="H8">
        <v>20</v>
      </c>
      <c r="I8">
        <v>2841.22</v>
      </c>
      <c r="J8">
        <v>4.32</v>
      </c>
      <c r="K8" t="s">
        <v>34</v>
      </c>
      <c r="L8" t="str">
        <f t="shared" si="0"/>
        <v>OK</v>
      </c>
      <c r="M8" t="str">
        <f t="shared" si="1"/>
        <v>OK</v>
      </c>
      <c r="N8" t="str">
        <f t="shared" si="2"/>
        <v>Corporate</v>
      </c>
      <c r="O8">
        <f t="shared" si="3"/>
        <v>2841.22</v>
      </c>
      <c r="P8" t="str">
        <f t="shared" si="4"/>
        <v>OK</v>
      </c>
      <c r="Q8" t="str">
        <f t="shared" si="5"/>
        <v>Clean: No issues</v>
      </c>
    </row>
    <row r="9" spans="1:17">
      <c r="A9" t="s">
        <v>35</v>
      </c>
      <c r="B9" s="1">
        <v>45524</v>
      </c>
      <c r="C9" t="s">
        <v>17</v>
      </c>
      <c r="D9" t="s">
        <v>27</v>
      </c>
      <c r="E9" t="s">
        <v>36</v>
      </c>
      <c r="F9">
        <v>4</v>
      </c>
      <c r="G9">
        <v>25.36</v>
      </c>
      <c r="H9">
        <v>15</v>
      </c>
      <c r="I9">
        <v>86.22</v>
      </c>
      <c r="J9">
        <v>8.14</v>
      </c>
      <c r="K9" t="s">
        <v>20</v>
      </c>
      <c r="L9" t="str">
        <f t="shared" si="0"/>
        <v>OK</v>
      </c>
      <c r="M9" t="str">
        <f t="shared" si="1"/>
        <v>OK</v>
      </c>
      <c r="N9" t="str">
        <f t="shared" si="2"/>
        <v>Corporate</v>
      </c>
      <c r="O9">
        <f t="shared" si="3"/>
        <v>86.22</v>
      </c>
      <c r="P9" t="str">
        <f t="shared" si="4"/>
        <v>OK</v>
      </c>
      <c r="Q9" t="str">
        <f t="shared" si="5"/>
        <v>Clean: No issues</v>
      </c>
    </row>
    <row r="10" spans="1:17">
      <c r="A10" t="s">
        <v>37</v>
      </c>
      <c r="B10" s="1">
        <v>45603</v>
      </c>
      <c r="C10" t="s">
        <v>17</v>
      </c>
      <c r="D10" t="s">
        <v>33</v>
      </c>
      <c r="E10" t="s">
        <v>31</v>
      </c>
      <c r="F10">
        <v>3</v>
      </c>
      <c r="G10">
        <v>224.16</v>
      </c>
      <c r="H10">
        <v>5</v>
      </c>
      <c r="I10">
        <v>638.86</v>
      </c>
      <c r="J10">
        <v>10.73</v>
      </c>
      <c r="K10" t="s">
        <v>15</v>
      </c>
      <c r="L10" t="str">
        <f t="shared" si="0"/>
        <v>OK</v>
      </c>
      <c r="M10" t="str">
        <f t="shared" si="1"/>
        <v>OK</v>
      </c>
      <c r="N10" t="str">
        <f t="shared" si="2"/>
        <v>Corporate</v>
      </c>
      <c r="O10">
        <f t="shared" si="3"/>
        <v>638.86</v>
      </c>
      <c r="P10" t="str">
        <f t="shared" si="4"/>
        <v>OK</v>
      </c>
      <c r="Q10" t="str">
        <f t="shared" si="5"/>
        <v>Clean: No issues</v>
      </c>
    </row>
    <row r="11" spans="1:17">
      <c r="A11" t="s">
        <v>38</v>
      </c>
      <c r="B11" s="1">
        <v>45404</v>
      </c>
      <c r="C11" t="s">
        <v>17</v>
      </c>
      <c r="D11" t="s">
        <v>27</v>
      </c>
      <c r="E11" t="s">
        <v>19</v>
      </c>
      <c r="F11">
        <v>1</v>
      </c>
      <c r="G11">
        <v>153.07</v>
      </c>
      <c r="H11">
        <v>20</v>
      </c>
      <c r="I11">
        <v>122.46</v>
      </c>
      <c r="J11">
        <v>9.26</v>
      </c>
      <c r="K11" t="s">
        <v>34</v>
      </c>
      <c r="L11" t="str">
        <f t="shared" si="0"/>
        <v>OK</v>
      </c>
      <c r="M11" t="str">
        <f t="shared" si="1"/>
        <v>OK</v>
      </c>
      <c r="N11" t="str">
        <f t="shared" si="2"/>
        <v>Corporate</v>
      </c>
      <c r="O11">
        <f t="shared" si="3"/>
        <v>122.46</v>
      </c>
      <c r="P11" t="str">
        <f t="shared" si="4"/>
        <v>OK</v>
      </c>
      <c r="Q11" t="str">
        <f t="shared" si="5"/>
        <v>Clean: No issues</v>
      </c>
    </row>
    <row r="12" spans="1:17">
      <c r="A12" t="s">
        <v>39</v>
      </c>
      <c r="B12" s="1">
        <v>45325</v>
      </c>
      <c r="C12" t="s">
        <v>12</v>
      </c>
      <c r="D12" t="s">
        <v>22</v>
      </c>
      <c r="E12" t="s">
        <v>14</v>
      </c>
      <c r="F12">
        <v>8</v>
      </c>
      <c r="G12">
        <v>254.35</v>
      </c>
      <c r="H12">
        <v>5</v>
      </c>
      <c r="I12">
        <v>1933.06</v>
      </c>
      <c r="J12">
        <v>22.35</v>
      </c>
      <c r="K12" t="s">
        <v>29</v>
      </c>
      <c r="L12" t="str">
        <f t="shared" si="0"/>
        <v>OK</v>
      </c>
      <c r="M12" t="str">
        <f t="shared" si="1"/>
        <v>OK</v>
      </c>
      <c r="N12" t="str">
        <f t="shared" si="2"/>
        <v>Consumer</v>
      </c>
      <c r="O12">
        <f t="shared" si="3"/>
        <v>1933.06</v>
      </c>
      <c r="P12" t="str">
        <f t="shared" si="4"/>
        <v>OK</v>
      </c>
      <c r="Q12" t="str">
        <f t="shared" si="5"/>
        <v>Clean: No issues</v>
      </c>
    </row>
    <row r="13" spans="1:17">
      <c r="A13" t="s">
        <v>40</v>
      </c>
      <c r="B13" s="1">
        <v>45365</v>
      </c>
      <c r="C13" t="s">
        <v>26</v>
      </c>
      <c r="D13" t="s">
        <v>33</v>
      </c>
      <c r="E13" t="s">
        <v>36</v>
      </c>
      <c r="F13">
        <v>5</v>
      </c>
      <c r="G13">
        <v>45.97</v>
      </c>
      <c r="H13">
        <v>15</v>
      </c>
      <c r="I13">
        <v>195.37</v>
      </c>
      <c r="J13">
        <v>15.45</v>
      </c>
      <c r="K13" t="s">
        <v>15</v>
      </c>
      <c r="L13" t="str">
        <f t="shared" si="0"/>
        <v>OK</v>
      </c>
      <c r="M13" t="str">
        <f t="shared" si="1"/>
        <v>OK</v>
      </c>
      <c r="N13" t="str">
        <f t="shared" si="2"/>
        <v>Small Business</v>
      </c>
      <c r="O13">
        <f t="shared" si="3"/>
        <v>195.37</v>
      </c>
      <c r="P13" t="str">
        <f t="shared" si="4"/>
        <v>OK</v>
      </c>
      <c r="Q13" t="str">
        <f t="shared" si="5"/>
        <v>Clean: No issues</v>
      </c>
    </row>
    <row r="14" spans="1:17">
      <c r="A14" t="s">
        <v>41</v>
      </c>
      <c r="B14" s="1">
        <v>45496</v>
      </c>
      <c r="C14" t="s">
        <v>26</v>
      </c>
      <c r="D14" t="s">
        <v>33</v>
      </c>
      <c r="E14" t="s">
        <v>36</v>
      </c>
      <c r="F14">
        <v>2</v>
      </c>
      <c r="G14">
        <v>33.020000000000003</v>
      </c>
      <c r="H14">
        <v>20</v>
      </c>
      <c r="I14">
        <v>52.83</v>
      </c>
      <c r="J14">
        <v>3.08</v>
      </c>
      <c r="K14" t="s">
        <v>20</v>
      </c>
      <c r="L14" t="str">
        <f t="shared" si="0"/>
        <v>OK</v>
      </c>
      <c r="M14" t="str">
        <f t="shared" si="1"/>
        <v>OK</v>
      </c>
      <c r="N14" t="str">
        <f t="shared" si="2"/>
        <v>Small Business</v>
      </c>
      <c r="O14">
        <f t="shared" si="3"/>
        <v>52.83</v>
      </c>
      <c r="P14" t="str">
        <f t="shared" si="4"/>
        <v>OK</v>
      </c>
      <c r="Q14" t="str">
        <f t="shared" si="5"/>
        <v>Clean: No issues</v>
      </c>
    </row>
    <row r="15" spans="1:17">
      <c r="A15" t="s">
        <v>42</v>
      </c>
      <c r="B15" s="1">
        <v>45370</v>
      </c>
      <c r="C15" t="s">
        <v>17</v>
      </c>
      <c r="D15" t="s">
        <v>33</v>
      </c>
      <c r="E15" t="s">
        <v>23</v>
      </c>
      <c r="F15">
        <v>7</v>
      </c>
      <c r="G15">
        <v>95.52</v>
      </c>
      <c r="H15">
        <v>5</v>
      </c>
      <c r="I15">
        <v>635.21</v>
      </c>
      <c r="J15">
        <v>15.71</v>
      </c>
      <c r="K15" t="s">
        <v>29</v>
      </c>
      <c r="L15" t="str">
        <f t="shared" si="0"/>
        <v>OK</v>
      </c>
      <c r="M15" t="str">
        <f t="shared" si="1"/>
        <v>OK</v>
      </c>
      <c r="N15" t="str">
        <f t="shared" si="2"/>
        <v>Corporate</v>
      </c>
      <c r="O15">
        <f t="shared" si="3"/>
        <v>635.21</v>
      </c>
      <c r="P15" t="str">
        <f t="shared" si="4"/>
        <v>OK</v>
      </c>
      <c r="Q15" t="str">
        <f t="shared" si="5"/>
        <v>Clean: No issues</v>
      </c>
    </row>
    <row r="16" spans="1:17">
      <c r="A16" t="s">
        <v>43</v>
      </c>
      <c r="B16" s="1">
        <v>45562</v>
      </c>
      <c r="C16" t="s">
        <v>26</v>
      </c>
      <c r="D16" t="s">
        <v>22</v>
      </c>
      <c r="E16" t="s">
        <v>19</v>
      </c>
      <c r="F16">
        <v>2</v>
      </c>
      <c r="G16">
        <v>356.13</v>
      </c>
      <c r="H16">
        <v>15</v>
      </c>
      <c r="I16">
        <v>605.41999999999996</v>
      </c>
      <c r="J16">
        <v>22.35</v>
      </c>
      <c r="K16" t="s">
        <v>34</v>
      </c>
      <c r="L16" t="str">
        <f t="shared" si="0"/>
        <v>OK</v>
      </c>
      <c r="M16" t="str">
        <f t="shared" si="1"/>
        <v>OK</v>
      </c>
      <c r="N16" t="str">
        <f t="shared" si="2"/>
        <v>Small Business</v>
      </c>
      <c r="O16">
        <f t="shared" si="3"/>
        <v>605.41999999999996</v>
      </c>
      <c r="P16" t="str">
        <f t="shared" si="4"/>
        <v>OK</v>
      </c>
      <c r="Q16" t="str">
        <f t="shared" si="5"/>
        <v>Clean: No issues</v>
      </c>
    </row>
    <row r="17" spans="1:17">
      <c r="A17" t="s">
        <v>44</v>
      </c>
      <c r="B17" s="1">
        <v>45620</v>
      </c>
      <c r="C17" t="s">
        <v>26</v>
      </c>
      <c r="D17" t="s">
        <v>13</v>
      </c>
      <c r="E17" t="s">
        <v>14</v>
      </c>
      <c r="F17">
        <v>8</v>
      </c>
      <c r="G17">
        <v>436.51</v>
      </c>
      <c r="H17">
        <v>0</v>
      </c>
      <c r="I17">
        <v>3492.08</v>
      </c>
      <c r="J17">
        <v>23.94</v>
      </c>
      <c r="K17" t="s">
        <v>34</v>
      </c>
      <c r="L17" t="str">
        <f t="shared" si="0"/>
        <v>OK</v>
      </c>
      <c r="M17" t="str">
        <f t="shared" si="1"/>
        <v>OK</v>
      </c>
      <c r="N17" t="str">
        <f t="shared" si="2"/>
        <v>Small Business</v>
      </c>
      <c r="O17">
        <f t="shared" si="3"/>
        <v>3492.08</v>
      </c>
      <c r="P17" t="str">
        <f t="shared" si="4"/>
        <v>OK</v>
      </c>
      <c r="Q17" t="str">
        <f t="shared" si="5"/>
        <v>Clean: No issues</v>
      </c>
    </row>
    <row r="18" spans="1:17">
      <c r="A18" t="s">
        <v>45</v>
      </c>
      <c r="B18" s="1">
        <v>45548</v>
      </c>
      <c r="C18" t="s">
        <v>12</v>
      </c>
      <c r="D18" t="s">
        <v>22</v>
      </c>
      <c r="E18" t="s">
        <v>19</v>
      </c>
      <c r="F18">
        <v>5</v>
      </c>
      <c r="G18">
        <v>441.73</v>
      </c>
      <c r="H18">
        <v>20</v>
      </c>
      <c r="I18">
        <v>1766.92</v>
      </c>
      <c r="J18">
        <v>16.7</v>
      </c>
      <c r="K18" t="s">
        <v>15</v>
      </c>
      <c r="L18" t="str">
        <f t="shared" si="0"/>
        <v>OK</v>
      </c>
      <c r="M18" t="str">
        <f t="shared" si="1"/>
        <v>OK</v>
      </c>
      <c r="N18" t="str">
        <f t="shared" si="2"/>
        <v>Consumer</v>
      </c>
      <c r="O18">
        <f t="shared" si="3"/>
        <v>1766.92</v>
      </c>
      <c r="P18" t="str">
        <f t="shared" si="4"/>
        <v>OK</v>
      </c>
      <c r="Q18" t="str">
        <f t="shared" si="5"/>
        <v>Clean: No issues</v>
      </c>
    </row>
    <row r="19" spans="1:17">
      <c r="A19" t="s">
        <v>46</v>
      </c>
      <c r="B19" s="1">
        <v>45393</v>
      </c>
      <c r="C19" t="s">
        <v>12</v>
      </c>
      <c r="D19" t="s">
        <v>27</v>
      </c>
      <c r="E19" t="s">
        <v>36</v>
      </c>
      <c r="F19">
        <v>1</v>
      </c>
      <c r="G19">
        <v>34.67</v>
      </c>
      <c r="H19">
        <v>10</v>
      </c>
      <c r="I19">
        <v>31.2</v>
      </c>
      <c r="J19">
        <v>9.4600000000000009</v>
      </c>
      <c r="K19" t="s">
        <v>20</v>
      </c>
      <c r="L19" t="str">
        <f t="shared" si="0"/>
        <v>OK</v>
      </c>
      <c r="M19" t="str">
        <f t="shared" si="1"/>
        <v>OK</v>
      </c>
      <c r="N19" t="str">
        <f t="shared" si="2"/>
        <v>Consumer</v>
      </c>
      <c r="O19">
        <f t="shared" si="3"/>
        <v>31.2</v>
      </c>
      <c r="P19" t="str">
        <f t="shared" si="4"/>
        <v>OK</v>
      </c>
      <c r="Q19" t="str">
        <f t="shared" si="5"/>
        <v>Clean: No issues</v>
      </c>
    </row>
    <row r="20" spans="1:17">
      <c r="A20" t="s">
        <v>47</v>
      </c>
      <c r="B20" s="1">
        <v>45349</v>
      </c>
      <c r="C20" t="s">
        <v>26</v>
      </c>
      <c r="D20" t="s">
        <v>27</v>
      </c>
      <c r="E20" t="s">
        <v>36</v>
      </c>
      <c r="F20">
        <v>2</v>
      </c>
      <c r="G20">
        <v>8.19</v>
      </c>
      <c r="H20">
        <v>0</v>
      </c>
      <c r="I20">
        <v>16.38</v>
      </c>
      <c r="J20">
        <v>18.829999999999998</v>
      </c>
      <c r="K20" t="s">
        <v>20</v>
      </c>
      <c r="L20" t="str">
        <f t="shared" si="0"/>
        <v>OK</v>
      </c>
      <c r="M20" t="str">
        <f t="shared" si="1"/>
        <v>OK</v>
      </c>
      <c r="N20" t="str">
        <f t="shared" si="2"/>
        <v>Small Business</v>
      </c>
      <c r="O20">
        <f t="shared" si="3"/>
        <v>16.38</v>
      </c>
      <c r="P20" t="str">
        <f t="shared" si="4"/>
        <v>OK</v>
      </c>
      <c r="Q20" t="str">
        <f t="shared" si="5"/>
        <v>Clean: No issues</v>
      </c>
    </row>
    <row r="21" spans="1:17">
      <c r="A21" t="s">
        <v>48</v>
      </c>
      <c r="B21" s="1">
        <v>45564</v>
      </c>
      <c r="C21" t="s">
        <v>12</v>
      </c>
      <c r="D21" t="s">
        <v>33</v>
      </c>
      <c r="E21" t="s">
        <v>23</v>
      </c>
      <c r="F21">
        <v>3</v>
      </c>
      <c r="G21">
        <v>142.82</v>
      </c>
      <c r="H21">
        <v>0</v>
      </c>
      <c r="I21">
        <v>428.46</v>
      </c>
      <c r="J21">
        <v>14.14</v>
      </c>
      <c r="K21" t="s">
        <v>15</v>
      </c>
      <c r="L21" t="str">
        <f t="shared" si="0"/>
        <v>OK</v>
      </c>
      <c r="M21" t="str">
        <f t="shared" si="1"/>
        <v>OK</v>
      </c>
      <c r="N21" t="str">
        <f t="shared" si="2"/>
        <v>Consumer</v>
      </c>
      <c r="O21">
        <f t="shared" si="3"/>
        <v>428.46</v>
      </c>
      <c r="P21" t="str">
        <f t="shared" si="4"/>
        <v>OK</v>
      </c>
      <c r="Q21" t="str">
        <f t="shared" si="5"/>
        <v>Clean: No issues</v>
      </c>
    </row>
    <row r="22" spans="1:17">
      <c r="A22" t="s">
        <v>49</v>
      </c>
      <c r="B22" s="1">
        <v>45508</v>
      </c>
      <c r="C22" t="s">
        <v>12</v>
      </c>
      <c r="D22" t="s">
        <v>22</v>
      </c>
      <c r="E22" t="s">
        <v>36</v>
      </c>
      <c r="F22">
        <v>7</v>
      </c>
      <c r="G22">
        <v>44.21</v>
      </c>
      <c r="H22">
        <v>15</v>
      </c>
      <c r="I22">
        <v>263.05</v>
      </c>
      <c r="J22">
        <v>16.95</v>
      </c>
      <c r="K22" t="s">
        <v>29</v>
      </c>
      <c r="L22" t="str">
        <f t="shared" si="0"/>
        <v>OK</v>
      </c>
      <c r="M22" t="str">
        <f t="shared" si="1"/>
        <v>OK</v>
      </c>
      <c r="N22" t="str">
        <f t="shared" si="2"/>
        <v>Consumer</v>
      </c>
      <c r="O22">
        <f t="shared" si="3"/>
        <v>263.05</v>
      </c>
      <c r="P22" t="str">
        <f t="shared" si="4"/>
        <v>OK</v>
      </c>
      <c r="Q22" t="str">
        <f t="shared" si="5"/>
        <v>Clean: No issues</v>
      </c>
    </row>
    <row r="23" spans="1:17">
      <c r="A23" t="s">
        <v>50</v>
      </c>
      <c r="B23" s="1">
        <v>45556</v>
      </c>
      <c r="C23" t="s">
        <v>26</v>
      </c>
      <c r="D23" t="s">
        <v>13</v>
      </c>
      <c r="E23" t="s">
        <v>36</v>
      </c>
      <c r="F23">
        <v>6</v>
      </c>
      <c r="G23">
        <v>17.36</v>
      </c>
      <c r="H23">
        <v>0</v>
      </c>
      <c r="I23">
        <v>104.16</v>
      </c>
      <c r="J23">
        <v>15.53</v>
      </c>
      <c r="K23" t="s">
        <v>24</v>
      </c>
      <c r="L23" t="str">
        <f t="shared" si="0"/>
        <v>OK</v>
      </c>
      <c r="M23" t="str">
        <f t="shared" si="1"/>
        <v>OK</v>
      </c>
      <c r="N23" t="str">
        <f t="shared" si="2"/>
        <v>Small Business</v>
      </c>
      <c r="O23">
        <f t="shared" si="3"/>
        <v>104.16</v>
      </c>
      <c r="P23" t="str">
        <f t="shared" si="4"/>
        <v>OK</v>
      </c>
      <c r="Q23" t="str">
        <f t="shared" si="5"/>
        <v>Clean: No issues</v>
      </c>
    </row>
    <row r="24" spans="1:17">
      <c r="A24" t="s">
        <v>51</v>
      </c>
      <c r="B24" s="1">
        <v>45593</v>
      </c>
      <c r="C24" t="s">
        <v>12</v>
      </c>
      <c r="D24" t="s">
        <v>13</v>
      </c>
      <c r="E24" t="s">
        <v>19</v>
      </c>
      <c r="F24">
        <v>1</v>
      </c>
      <c r="G24">
        <v>368.53</v>
      </c>
      <c r="H24">
        <v>0</v>
      </c>
      <c r="I24">
        <v>368.53</v>
      </c>
      <c r="J24">
        <v>3.55</v>
      </c>
      <c r="K24" t="s">
        <v>20</v>
      </c>
      <c r="L24" t="str">
        <f t="shared" si="0"/>
        <v>OK</v>
      </c>
      <c r="M24" t="str">
        <f t="shared" si="1"/>
        <v>OK</v>
      </c>
      <c r="N24" t="str">
        <f t="shared" si="2"/>
        <v>Consumer</v>
      </c>
      <c r="O24">
        <f t="shared" si="3"/>
        <v>368.53</v>
      </c>
      <c r="P24" t="str">
        <f t="shared" si="4"/>
        <v>OK</v>
      </c>
      <c r="Q24" t="str">
        <f t="shared" si="5"/>
        <v>Clean: No issues</v>
      </c>
    </row>
    <row r="25" spans="1:17">
      <c r="A25" t="s">
        <v>52</v>
      </c>
      <c r="B25" s="1">
        <v>45461</v>
      </c>
      <c r="C25" t="s">
        <v>12</v>
      </c>
      <c r="D25" t="s">
        <v>22</v>
      </c>
      <c r="E25" t="s">
        <v>36</v>
      </c>
      <c r="F25">
        <v>8</v>
      </c>
      <c r="G25">
        <v>20.32</v>
      </c>
      <c r="H25">
        <v>0</v>
      </c>
      <c r="I25">
        <v>162.56</v>
      </c>
      <c r="J25">
        <v>14.4</v>
      </c>
      <c r="K25" t="s">
        <v>15</v>
      </c>
      <c r="L25" t="str">
        <f t="shared" si="0"/>
        <v>OK</v>
      </c>
      <c r="M25" t="str">
        <f t="shared" si="1"/>
        <v>OK</v>
      </c>
      <c r="N25" t="str">
        <f t="shared" si="2"/>
        <v>Consumer</v>
      </c>
      <c r="O25">
        <f t="shared" si="3"/>
        <v>162.56</v>
      </c>
      <c r="P25" t="str">
        <f t="shared" si="4"/>
        <v>OK</v>
      </c>
      <c r="Q25" t="str">
        <f t="shared" si="5"/>
        <v>Clean: No issues</v>
      </c>
    </row>
    <row r="26" spans="1:17">
      <c r="A26" t="s">
        <v>53</v>
      </c>
      <c r="B26" s="1">
        <v>45587</v>
      </c>
      <c r="C26" t="s">
        <v>26</v>
      </c>
      <c r="D26" t="s">
        <v>33</v>
      </c>
      <c r="E26" t="s">
        <v>23</v>
      </c>
      <c r="F26">
        <v>4</v>
      </c>
      <c r="G26">
        <v>124.01</v>
      </c>
      <c r="H26">
        <v>0</v>
      </c>
      <c r="I26">
        <v>496.04</v>
      </c>
      <c r="J26">
        <v>4.2300000000000004</v>
      </c>
      <c r="K26" t="s">
        <v>29</v>
      </c>
      <c r="L26" t="str">
        <f t="shared" si="0"/>
        <v>OK</v>
      </c>
      <c r="M26" t="str">
        <f t="shared" si="1"/>
        <v>OK</v>
      </c>
      <c r="N26" t="str">
        <f t="shared" si="2"/>
        <v>Small Business</v>
      </c>
      <c r="O26">
        <f t="shared" si="3"/>
        <v>496.04</v>
      </c>
      <c r="P26" t="str">
        <f t="shared" si="4"/>
        <v>OK</v>
      </c>
      <c r="Q26" t="str">
        <f t="shared" si="5"/>
        <v>Clean: No issues</v>
      </c>
    </row>
    <row r="27" spans="1:17">
      <c r="A27" t="s">
        <v>54</v>
      </c>
      <c r="B27" s="1">
        <v>45473</v>
      </c>
      <c r="C27" t="s">
        <v>26</v>
      </c>
      <c r="D27" t="s">
        <v>18</v>
      </c>
      <c r="E27" t="s">
        <v>23</v>
      </c>
      <c r="F27">
        <v>1</v>
      </c>
      <c r="G27">
        <v>131.62</v>
      </c>
      <c r="H27">
        <v>15</v>
      </c>
      <c r="I27">
        <v>111.88</v>
      </c>
      <c r="J27">
        <v>17.03</v>
      </c>
      <c r="K27" t="s">
        <v>20</v>
      </c>
      <c r="L27" t="str">
        <f t="shared" si="0"/>
        <v>OK</v>
      </c>
      <c r="M27" t="str">
        <f t="shared" si="1"/>
        <v>OK</v>
      </c>
      <c r="N27" t="str">
        <f t="shared" si="2"/>
        <v>Small Business</v>
      </c>
      <c r="O27">
        <f t="shared" si="3"/>
        <v>111.88</v>
      </c>
      <c r="P27" t="str">
        <f t="shared" si="4"/>
        <v>OK</v>
      </c>
      <c r="Q27" t="str">
        <f t="shared" si="5"/>
        <v>Clean: No issues</v>
      </c>
    </row>
    <row r="28" spans="1:17">
      <c r="A28" t="s">
        <v>55</v>
      </c>
      <c r="B28" s="1">
        <v>45323</v>
      </c>
      <c r="C28" t="s">
        <v>26</v>
      </c>
      <c r="D28" t="s">
        <v>27</v>
      </c>
      <c r="E28" t="s">
        <v>19</v>
      </c>
      <c r="F28">
        <v>4</v>
      </c>
      <c r="G28">
        <v>161.9</v>
      </c>
      <c r="H28">
        <v>10</v>
      </c>
      <c r="I28">
        <v>582.84</v>
      </c>
      <c r="J28">
        <v>12.32</v>
      </c>
      <c r="K28" t="s">
        <v>29</v>
      </c>
      <c r="L28" t="str">
        <f t="shared" si="0"/>
        <v>OK</v>
      </c>
      <c r="M28" t="str">
        <f t="shared" si="1"/>
        <v>OK</v>
      </c>
      <c r="N28" t="str">
        <f t="shared" si="2"/>
        <v>Small Business</v>
      </c>
      <c r="O28">
        <f t="shared" si="3"/>
        <v>582.84</v>
      </c>
      <c r="P28" t="str">
        <f t="shared" si="4"/>
        <v>OK</v>
      </c>
      <c r="Q28" t="str">
        <f t="shared" si="5"/>
        <v>Clean: No issues</v>
      </c>
    </row>
    <row r="29" spans="1:17">
      <c r="A29" t="s">
        <v>56</v>
      </c>
      <c r="B29" s="1">
        <v>45385</v>
      </c>
      <c r="C29" t="s">
        <v>26</v>
      </c>
      <c r="D29" t="s">
        <v>18</v>
      </c>
      <c r="E29" t="s">
        <v>36</v>
      </c>
      <c r="F29">
        <v>2</v>
      </c>
      <c r="G29">
        <v>53.1</v>
      </c>
      <c r="H29">
        <v>5</v>
      </c>
      <c r="I29">
        <v>100.89</v>
      </c>
      <c r="J29">
        <v>20.58</v>
      </c>
      <c r="K29" t="s">
        <v>15</v>
      </c>
      <c r="L29" t="str">
        <f t="shared" si="0"/>
        <v>OK</v>
      </c>
      <c r="M29" t="str">
        <f t="shared" si="1"/>
        <v>OK</v>
      </c>
      <c r="N29" t="str">
        <f t="shared" si="2"/>
        <v>Small Business</v>
      </c>
      <c r="O29">
        <f t="shared" si="3"/>
        <v>100.89</v>
      </c>
      <c r="P29" t="str">
        <f t="shared" si="4"/>
        <v>OK</v>
      </c>
      <c r="Q29" t="str">
        <f t="shared" si="5"/>
        <v>Clean: No issues</v>
      </c>
    </row>
    <row r="30" spans="1:17">
      <c r="A30" t="s">
        <v>57</v>
      </c>
      <c r="B30" s="1">
        <v>45342</v>
      </c>
      <c r="C30" t="s">
        <v>12</v>
      </c>
      <c r="D30" t="s">
        <v>22</v>
      </c>
      <c r="E30" t="s">
        <v>19</v>
      </c>
      <c r="F30">
        <v>4</v>
      </c>
      <c r="G30">
        <v>486.05</v>
      </c>
      <c r="H30">
        <v>0</v>
      </c>
      <c r="I30">
        <v>1944.2</v>
      </c>
      <c r="J30">
        <v>11.35</v>
      </c>
      <c r="K30" t="s">
        <v>29</v>
      </c>
      <c r="L30" t="str">
        <f t="shared" si="0"/>
        <v>OK</v>
      </c>
      <c r="M30" t="str">
        <f t="shared" si="1"/>
        <v>OK</v>
      </c>
      <c r="N30" t="str">
        <f t="shared" si="2"/>
        <v>Consumer</v>
      </c>
      <c r="O30">
        <f t="shared" si="3"/>
        <v>1944.2</v>
      </c>
      <c r="P30" t="str">
        <f t="shared" si="4"/>
        <v>OK</v>
      </c>
      <c r="Q30" t="str">
        <f t="shared" si="5"/>
        <v>Clean: No issues</v>
      </c>
    </row>
    <row r="31" spans="1:17">
      <c r="A31" t="s">
        <v>58</v>
      </c>
      <c r="B31" s="1">
        <v>45401</v>
      </c>
      <c r="C31" t="s">
        <v>26</v>
      </c>
      <c r="D31" t="s">
        <v>13</v>
      </c>
      <c r="E31" t="s">
        <v>36</v>
      </c>
      <c r="F31">
        <v>7</v>
      </c>
      <c r="G31">
        <v>25.84</v>
      </c>
      <c r="H31">
        <v>0</v>
      </c>
      <c r="I31">
        <v>180.88</v>
      </c>
      <c r="J31">
        <v>23.31</v>
      </c>
      <c r="K31" t="s">
        <v>29</v>
      </c>
      <c r="L31" t="str">
        <f t="shared" si="0"/>
        <v>OK</v>
      </c>
      <c r="M31" t="str">
        <f t="shared" si="1"/>
        <v>OK</v>
      </c>
      <c r="N31" t="str">
        <f t="shared" si="2"/>
        <v>Small Business</v>
      </c>
      <c r="O31">
        <f t="shared" si="3"/>
        <v>180.88</v>
      </c>
      <c r="P31" t="str">
        <f t="shared" si="4"/>
        <v>OK</v>
      </c>
      <c r="Q31" t="str">
        <f t="shared" si="5"/>
        <v>Clean: No issues</v>
      </c>
    </row>
    <row r="32" spans="1:17">
      <c r="A32" t="s">
        <v>59</v>
      </c>
      <c r="B32" s="1">
        <v>45438</v>
      </c>
      <c r="C32" t="s">
        <v>26</v>
      </c>
      <c r="D32" t="s">
        <v>22</v>
      </c>
      <c r="E32" t="s">
        <v>23</v>
      </c>
      <c r="F32">
        <v>5</v>
      </c>
      <c r="G32">
        <v>35.9</v>
      </c>
      <c r="H32">
        <v>0</v>
      </c>
      <c r="I32">
        <v>179.5</v>
      </c>
      <c r="J32">
        <v>24.28</v>
      </c>
      <c r="K32" t="s">
        <v>15</v>
      </c>
      <c r="L32" t="str">
        <f t="shared" si="0"/>
        <v>OK</v>
      </c>
      <c r="M32" t="str">
        <f t="shared" si="1"/>
        <v>OK</v>
      </c>
      <c r="N32" t="str">
        <f t="shared" si="2"/>
        <v>Small Business</v>
      </c>
      <c r="O32">
        <f t="shared" si="3"/>
        <v>179.5</v>
      </c>
      <c r="P32" t="str">
        <f t="shared" si="4"/>
        <v>OK</v>
      </c>
      <c r="Q32" t="str">
        <f t="shared" si="5"/>
        <v>Clean: No issues</v>
      </c>
    </row>
    <row r="33" spans="1:17">
      <c r="A33" t="s">
        <v>60</v>
      </c>
      <c r="B33" s="1">
        <v>45569</v>
      </c>
      <c r="C33" t="s">
        <v>12</v>
      </c>
      <c r="D33" t="s">
        <v>27</v>
      </c>
      <c r="E33" t="s">
        <v>19</v>
      </c>
      <c r="F33">
        <v>8</v>
      </c>
      <c r="G33">
        <v>72.56</v>
      </c>
      <c r="H33">
        <v>10</v>
      </c>
      <c r="I33">
        <v>522.42999999999995</v>
      </c>
      <c r="J33">
        <v>23.15</v>
      </c>
      <c r="K33" t="s">
        <v>15</v>
      </c>
      <c r="L33" t="str">
        <f t="shared" si="0"/>
        <v>OK</v>
      </c>
      <c r="M33" t="str">
        <f t="shared" si="1"/>
        <v>OK</v>
      </c>
      <c r="N33" t="str">
        <f t="shared" si="2"/>
        <v>Consumer</v>
      </c>
      <c r="O33">
        <f t="shared" si="3"/>
        <v>522.42999999999995</v>
      </c>
      <c r="P33" t="str">
        <f t="shared" si="4"/>
        <v>OK</v>
      </c>
      <c r="Q33" t="str">
        <f t="shared" si="5"/>
        <v>Clean: No issues</v>
      </c>
    </row>
    <row r="34" spans="1:17">
      <c r="A34" t="s">
        <v>61</v>
      </c>
      <c r="B34" s="1">
        <v>45372</v>
      </c>
      <c r="C34" t="s">
        <v>12</v>
      </c>
      <c r="D34" t="s">
        <v>22</v>
      </c>
      <c r="E34" t="s">
        <v>19</v>
      </c>
      <c r="F34">
        <v>2</v>
      </c>
      <c r="G34">
        <v>433.1</v>
      </c>
      <c r="H34">
        <v>10</v>
      </c>
      <c r="I34">
        <v>779.58</v>
      </c>
      <c r="J34">
        <v>3.56</v>
      </c>
      <c r="K34" t="s">
        <v>24</v>
      </c>
      <c r="L34" t="str">
        <f t="shared" si="0"/>
        <v>OK</v>
      </c>
      <c r="M34" t="str">
        <f t="shared" si="1"/>
        <v>OK</v>
      </c>
      <c r="N34" t="str">
        <f t="shared" si="2"/>
        <v>Consumer</v>
      </c>
      <c r="O34">
        <f t="shared" si="3"/>
        <v>779.58</v>
      </c>
      <c r="P34" t="str">
        <f t="shared" si="4"/>
        <v>OK</v>
      </c>
      <c r="Q34" t="str">
        <f t="shared" si="5"/>
        <v>Clean: No issues</v>
      </c>
    </row>
    <row r="35" spans="1:17">
      <c r="A35" t="s">
        <v>62</v>
      </c>
      <c r="B35" s="1">
        <v>45498</v>
      </c>
      <c r="C35" t="s">
        <v>12</v>
      </c>
      <c r="D35" t="s">
        <v>22</v>
      </c>
      <c r="E35" t="s">
        <v>36</v>
      </c>
      <c r="F35">
        <v>1</v>
      </c>
      <c r="G35">
        <v>36.840000000000003</v>
      </c>
      <c r="H35">
        <v>10</v>
      </c>
      <c r="I35">
        <v>33.159999999999997</v>
      </c>
      <c r="J35">
        <v>3.89</v>
      </c>
      <c r="K35" t="s">
        <v>15</v>
      </c>
      <c r="L35" t="str">
        <f t="shared" si="0"/>
        <v>OK</v>
      </c>
      <c r="M35" t="str">
        <f t="shared" si="1"/>
        <v>OK</v>
      </c>
      <c r="N35" t="str">
        <f t="shared" si="2"/>
        <v>Consumer</v>
      </c>
      <c r="O35">
        <f t="shared" si="3"/>
        <v>33.159999999999997</v>
      </c>
      <c r="P35" t="str">
        <f t="shared" si="4"/>
        <v>OK</v>
      </c>
      <c r="Q35" t="str">
        <f t="shared" si="5"/>
        <v>Clean: No issues</v>
      </c>
    </row>
    <row r="36" spans="1:17">
      <c r="A36" t="s">
        <v>63</v>
      </c>
      <c r="B36" s="1">
        <v>45581</v>
      </c>
      <c r="C36" t="s">
        <v>17</v>
      </c>
      <c r="D36" t="s">
        <v>27</v>
      </c>
      <c r="E36" t="s">
        <v>14</v>
      </c>
      <c r="F36">
        <v>6</v>
      </c>
      <c r="G36">
        <v>247.49</v>
      </c>
      <c r="H36">
        <v>0</v>
      </c>
      <c r="I36">
        <v>1484.94</v>
      </c>
      <c r="J36">
        <v>8.11</v>
      </c>
      <c r="K36" t="s">
        <v>24</v>
      </c>
      <c r="L36" t="str">
        <f t="shared" si="0"/>
        <v>OK</v>
      </c>
      <c r="M36" t="str">
        <f t="shared" si="1"/>
        <v>OK</v>
      </c>
      <c r="N36" t="str">
        <f t="shared" si="2"/>
        <v>Corporate</v>
      </c>
      <c r="O36">
        <f t="shared" si="3"/>
        <v>1484.94</v>
      </c>
      <c r="P36" t="str">
        <f t="shared" si="4"/>
        <v>OK</v>
      </c>
      <c r="Q36" t="str">
        <f t="shared" si="5"/>
        <v>Clean: No issues</v>
      </c>
    </row>
    <row r="37" spans="1:17">
      <c r="A37" t="s">
        <v>64</v>
      </c>
      <c r="B37" s="1">
        <v>45635</v>
      </c>
      <c r="C37" t="s">
        <v>17</v>
      </c>
      <c r="D37" t="s">
        <v>27</v>
      </c>
      <c r="E37" t="s">
        <v>23</v>
      </c>
      <c r="F37">
        <v>2</v>
      </c>
      <c r="G37">
        <v>57.68</v>
      </c>
      <c r="H37">
        <v>0</v>
      </c>
      <c r="I37">
        <v>115.36</v>
      </c>
      <c r="J37">
        <v>12.54</v>
      </c>
      <c r="K37" t="s">
        <v>15</v>
      </c>
      <c r="L37" t="str">
        <f t="shared" si="0"/>
        <v>OK</v>
      </c>
      <c r="M37" t="str">
        <f t="shared" si="1"/>
        <v>OK</v>
      </c>
      <c r="N37" t="str">
        <f t="shared" si="2"/>
        <v>Corporate</v>
      </c>
      <c r="O37">
        <f t="shared" si="3"/>
        <v>115.36</v>
      </c>
      <c r="P37" t="str">
        <f t="shared" si="4"/>
        <v>OK</v>
      </c>
      <c r="Q37" t="str">
        <f t="shared" si="5"/>
        <v>Clean: No issues</v>
      </c>
    </row>
    <row r="38" spans="1:17">
      <c r="A38" t="s">
        <v>65</v>
      </c>
      <c r="B38" s="1">
        <v>45343</v>
      </c>
      <c r="C38" t="s">
        <v>12</v>
      </c>
      <c r="D38" t="s">
        <v>22</v>
      </c>
      <c r="E38" t="s">
        <v>36</v>
      </c>
      <c r="F38">
        <v>3</v>
      </c>
      <c r="G38">
        <v>32.82</v>
      </c>
      <c r="H38">
        <v>0</v>
      </c>
      <c r="I38">
        <v>98.46</v>
      </c>
      <c r="J38">
        <v>22.26</v>
      </c>
      <c r="K38" t="s">
        <v>24</v>
      </c>
      <c r="L38" t="str">
        <f t="shared" si="0"/>
        <v>OK</v>
      </c>
      <c r="M38" t="str">
        <f t="shared" si="1"/>
        <v>OK</v>
      </c>
      <c r="N38" t="str">
        <f t="shared" si="2"/>
        <v>Consumer</v>
      </c>
      <c r="O38">
        <f t="shared" si="3"/>
        <v>98.46</v>
      </c>
      <c r="P38" t="str">
        <f t="shared" si="4"/>
        <v>OK</v>
      </c>
      <c r="Q38" t="str">
        <f t="shared" si="5"/>
        <v>Clean: No issues</v>
      </c>
    </row>
    <row r="39" spans="1:17">
      <c r="A39" t="s">
        <v>66</v>
      </c>
      <c r="B39" s="1">
        <v>45481</v>
      </c>
      <c r="C39" t="s">
        <v>26</v>
      </c>
      <c r="D39" t="s">
        <v>33</v>
      </c>
      <c r="E39" t="s">
        <v>23</v>
      </c>
      <c r="F39">
        <v>5</v>
      </c>
      <c r="G39">
        <v>127.56</v>
      </c>
      <c r="H39">
        <v>10</v>
      </c>
      <c r="I39">
        <v>574.02</v>
      </c>
      <c r="J39">
        <v>24.63</v>
      </c>
      <c r="K39" t="s">
        <v>15</v>
      </c>
      <c r="L39" t="str">
        <f t="shared" si="0"/>
        <v>OK</v>
      </c>
      <c r="M39" t="str">
        <f t="shared" si="1"/>
        <v>OK</v>
      </c>
      <c r="N39" t="str">
        <f t="shared" si="2"/>
        <v>Small Business</v>
      </c>
      <c r="O39">
        <f t="shared" si="3"/>
        <v>574.02</v>
      </c>
      <c r="P39" t="str">
        <f t="shared" si="4"/>
        <v>OK</v>
      </c>
      <c r="Q39" t="str">
        <f t="shared" si="5"/>
        <v>Clean: No issues</v>
      </c>
    </row>
    <row r="40" spans="1:17">
      <c r="A40" t="s">
        <v>67</v>
      </c>
      <c r="B40" s="1">
        <v>45296</v>
      </c>
      <c r="C40" t="s">
        <v>17</v>
      </c>
      <c r="D40" t="s">
        <v>22</v>
      </c>
      <c r="E40" t="s">
        <v>14</v>
      </c>
      <c r="F40">
        <v>2</v>
      </c>
      <c r="G40">
        <v>844.04</v>
      </c>
      <c r="H40">
        <v>0</v>
      </c>
      <c r="I40">
        <v>1688.08</v>
      </c>
      <c r="J40">
        <v>8.08</v>
      </c>
      <c r="K40" t="s">
        <v>20</v>
      </c>
      <c r="L40" t="str">
        <f t="shared" si="0"/>
        <v>OK</v>
      </c>
      <c r="M40" t="str">
        <f t="shared" si="1"/>
        <v>OK</v>
      </c>
      <c r="N40" t="str">
        <f t="shared" si="2"/>
        <v>Corporate</v>
      </c>
      <c r="O40">
        <f t="shared" si="3"/>
        <v>1688.08</v>
      </c>
      <c r="P40" t="str">
        <f t="shared" si="4"/>
        <v>OK</v>
      </c>
      <c r="Q40" t="str">
        <f t="shared" si="5"/>
        <v>Clean: No issues</v>
      </c>
    </row>
    <row r="41" spans="1:17">
      <c r="A41" t="s">
        <v>68</v>
      </c>
      <c r="B41" s="1">
        <v>45575</v>
      </c>
      <c r="C41" t="s">
        <v>12</v>
      </c>
      <c r="D41" t="s">
        <v>27</v>
      </c>
      <c r="E41" t="s">
        <v>14</v>
      </c>
      <c r="F41">
        <v>6</v>
      </c>
      <c r="G41">
        <v>575.96</v>
      </c>
      <c r="H41">
        <v>0</v>
      </c>
      <c r="I41">
        <v>3455.76</v>
      </c>
      <c r="J41">
        <v>17.809999999999999</v>
      </c>
      <c r="K41" t="s">
        <v>34</v>
      </c>
      <c r="L41" t="str">
        <f t="shared" si="0"/>
        <v>OK</v>
      </c>
      <c r="M41" t="str">
        <f t="shared" si="1"/>
        <v>OK</v>
      </c>
      <c r="N41" t="str">
        <f t="shared" si="2"/>
        <v>Consumer</v>
      </c>
      <c r="O41">
        <f t="shared" si="3"/>
        <v>3455.76</v>
      </c>
      <c r="P41" t="str">
        <f t="shared" si="4"/>
        <v>OK</v>
      </c>
      <c r="Q41" t="str">
        <f t="shared" si="5"/>
        <v>Clean: No issues</v>
      </c>
    </row>
    <row r="42" spans="1:17">
      <c r="A42" t="s">
        <v>69</v>
      </c>
      <c r="B42" s="1">
        <v>45550</v>
      </c>
      <c r="C42" t="s">
        <v>26</v>
      </c>
      <c r="D42" t="s">
        <v>27</v>
      </c>
      <c r="E42" t="s">
        <v>19</v>
      </c>
      <c r="F42">
        <v>7</v>
      </c>
      <c r="G42">
        <v>91.53</v>
      </c>
      <c r="H42">
        <v>20</v>
      </c>
      <c r="I42">
        <v>512.57000000000005</v>
      </c>
      <c r="J42">
        <v>8.36</v>
      </c>
      <c r="K42" t="s">
        <v>20</v>
      </c>
      <c r="L42" t="str">
        <f t="shared" si="0"/>
        <v>OK</v>
      </c>
      <c r="M42" t="str">
        <f t="shared" si="1"/>
        <v>OK</v>
      </c>
      <c r="N42" t="str">
        <f t="shared" si="2"/>
        <v>Small Business</v>
      </c>
      <c r="O42">
        <f t="shared" si="3"/>
        <v>512.57000000000005</v>
      </c>
      <c r="P42" t="str">
        <f t="shared" si="4"/>
        <v>OK</v>
      </c>
      <c r="Q42" t="str">
        <f t="shared" si="5"/>
        <v>Clean: No issues</v>
      </c>
    </row>
    <row r="43" spans="1:17">
      <c r="A43" t="s">
        <v>70</v>
      </c>
      <c r="B43" s="1">
        <v>45462</v>
      </c>
      <c r="C43" t="s">
        <v>12</v>
      </c>
      <c r="D43" t="s">
        <v>27</v>
      </c>
      <c r="E43" t="s">
        <v>36</v>
      </c>
      <c r="F43">
        <v>7</v>
      </c>
      <c r="G43">
        <v>45.77</v>
      </c>
      <c r="H43">
        <v>10</v>
      </c>
      <c r="I43">
        <v>288.35000000000002</v>
      </c>
      <c r="J43">
        <v>2.2200000000000002</v>
      </c>
      <c r="K43" t="s">
        <v>20</v>
      </c>
      <c r="L43" t="str">
        <f t="shared" si="0"/>
        <v>OK</v>
      </c>
      <c r="M43" t="str">
        <f t="shared" si="1"/>
        <v>OK</v>
      </c>
      <c r="N43" t="str">
        <f t="shared" si="2"/>
        <v>Consumer</v>
      </c>
      <c r="O43">
        <f t="shared" si="3"/>
        <v>288.35000000000002</v>
      </c>
      <c r="P43" t="str">
        <f t="shared" si="4"/>
        <v>OK</v>
      </c>
      <c r="Q43" t="str">
        <f t="shared" si="5"/>
        <v>Clean: No issues</v>
      </c>
    </row>
    <row r="44" spans="1:17">
      <c r="A44" t="s">
        <v>71</v>
      </c>
      <c r="B44" s="1">
        <v>45645</v>
      </c>
      <c r="C44" t="s">
        <v>12</v>
      </c>
      <c r="D44" t="s">
        <v>22</v>
      </c>
      <c r="E44" t="s">
        <v>19</v>
      </c>
      <c r="F44">
        <v>3</v>
      </c>
      <c r="G44">
        <v>425.57</v>
      </c>
      <c r="H44">
        <v>5</v>
      </c>
      <c r="I44">
        <v>1212.8699999999999</v>
      </c>
      <c r="J44">
        <v>4.93</v>
      </c>
      <c r="K44" t="s">
        <v>34</v>
      </c>
      <c r="L44" t="str">
        <f t="shared" si="0"/>
        <v>OK</v>
      </c>
      <c r="M44" t="str">
        <f t="shared" si="1"/>
        <v>OK</v>
      </c>
      <c r="N44" t="str">
        <f t="shared" si="2"/>
        <v>Consumer</v>
      </c>
      <c r="O44">
        <f t="shared" si="3"/>
        <v>1212.8699999999999</v>
      </c>
      <c r="P44" t="str">
        <f t="shared" si="4"/>
        <v>OK</v>
      </c>
      <c r="Q44" t="str">
        <f t="shared" si="5"/>
        <v>Clean: No issues</v>
      </c>
    </row>
    <row r="45" spans="1:17">
      <c r="A45" t="s">
        <v>72</v>
      </c>
      <c r="B45" s="1">
        <v>45478</v>
      </c>
      <c r="C45" t="s">
        <v>12</v>
      </c>
      <c r="D45" t="s">
        <v>27</v>
      </c>
      <c r="E45" t="s">
        <v>36</v>
      </c>
      <c r="F45">
        <v>2</v>
      </c>
      <c r="G45">
        <v>42.51</v>
      </c>
      <c r="H45">
        <v>0</v>
      </c>
      <c r="I45">
        <v>85.02</v>
      </c>
      <c r="J45">
        <v>19.940000000000001</v>
      </c>
      <c r="K45" t="s">
        <v>29</v>
      </c>
      <c r="L45" t="str">
        <f t="shared" si="0"/>
        <v>OK</v>
      </c>
      <c r="M45" t="str">
        <f t="shared" si="1"/>
        <v>OK</v>
      </c>
      <c r="N45" t="str">
        <f t="shared" si="2"/>
        <v>Consumer</v>
      </c>
      <c r="O45">
        <f t="shared" si="3"/>
        <v>85.02</v>
      </c>
      <c r="P45" t="str">
        <f t="shared" si="4"/>
        <v>OK</v>
      </c>
      <c r="Q45" t="str">
        <f t="shared" si="5"/>
        <v>Clean: No issues</v>
      </c>
    </row>
    <row r="46" spans="1:17">
      <c r="A46" t="s">
        <v>73</v>
      </c>
      <c r="B46" s="1">
        <v>45609</v>
      </c>
      <c r="C46" t="s">
        <v>17</v>
      </c>
      <c r="D46" t="s">
        <v>33</v>
      </c>
      <c r="E46" t="s">
        <v>36</v>
      </c>
      <c r="F46">
        <v>3</v>
      </c>
      <c r="G46">
        <v>52.55</v>
      </c>
      <c r="H46">
        <v>5</v>
      </c>
      <c r="I46">
        <v>149.77000000000001</v>
      </c>
      <c r="J46">
        <v>2.57</v>
      </c>
      <c r="K46" t="s">
        <v>34</v>
      </c>
      <c r="L46" t="str">
        <f t="shared" si="0"/>
        <v>OK</v>
      </c>
      <c r="M46" t="str">
        <f t="shared" si="1"/>
        <v>OK</v>
      </c>
      <c r="N46" t="str">
        <f t="shared" si="2"/>
        <v>Corporate</v>
      </c>
      <c r="O46">
        <f t="shared" si="3"/>
        <v>149.77000000000001</v>
      </c>
      <c r="P46" t="str">
        <f t="shared" si="4"/>
        <v>OK</v>
      </c>
      <c r="Q46" t="str">
        <f t="shared" si="5"/>
        <v>Clean: No issues</v>
      </c>
    </row>
    <row r="47" spans="1:17">
      <c r="A47" t="s">
        <v>74</v>
      </c>
      <c r="B47" s="1">
        <v>45502</v>
      </c>
      <c r="C47" t="s">
        <v>17</v>
      </c>
      <c r="D47" t="s">
        <v>33</v>
      </c>
      <c r="E47" t="s">
        <v>14</v>
      </c>
      <c r="F47">
        <v>2</v>
      </c>
      <c r="G47">
        <v>210.54</v>
      </c>
      <c r="H47">
        <v>5</v>
      </c>
      <c r="I47">
        <v>400.03</v>
      </c>
      <c r="J47">
        <v>22.06</v>
      </c>
      <c r="K47" t="s">
        <v>29</v>
      </c>
      <c r="L47" t="str">
        <f t="shared" si="0"/>
        <v>OK</v>
      </c>
      <c r="M47" t="str">
        <f t="shared" si="1"/>
        <v>OK</v>
      </c>
      <c r="N47" t="str">
        <f t="shared" si="2"/>
        <v>Corporate</v>
      </c>
      <c r="O47">
        <f t="shared" si="3"/>
        <v>400.03</v>
      </c>
      <c r="P47" t="str">
        <f t="shared" si="4"/>
        <v>OK</v>
      </c>
      <c r="Q47" t="str">
        <f t="shared" si="5"/>
        <v>Clean: No issues</v>
      </c>
    </row>
    <row r="48" spans="1:17">
      <c r="A48" t="s">
        <v>75</v>
      </c>
      <c r="B48" s="1">
        <v>45405</v>
      </c>
      <c r="C48" t="s">
        <v>12</v>
      </c>
      <c r="D48" t="s">
        <v>18</v>
      </c>
      <c r="E48" t="s">
        <v>14</v>
      </c>
      <c r="F48">
        <v>4</v>
      </c>
      <c r="G48">
        <v>330.26</v>
      </c>
      <c r="H48">
        <v>0</v>
      </c>
      <c r="I48">
        <v>1321.04</v>
      </c>
      <c r="J48">
        <v>2.54</v>
      </c>
      <c r="K48" t="s">
        <v>24</v>
      </c>
      <c r="L48" t="str">
        <f t="shared" si="0"/>
        <v>OK</v>
      </c>
      <c r="M48" t="str">
        <f t="shared" si="1"/>
        <v>OK</v>
      </c>
      <c r="N48" t="str">
        <f t="shared" si="2"/>
        <v>Consumer</v>
      </c>
      <c r="O48">
        <f t="shared" si="3"/>
        <v>1321.04</v>
      </c>
      <c r="P48" t="str">
        <f t="shared" si="4"/>
        <v>OK</v>
      </c>
      <c r="Q48" t="str">
        <f t="shared" si="5"/>
        <v>Clean: No issues</v>
      </c>
    </row>
    <row r="49" spans="1:17">
      <c r="A49" t="s">
        <v>76</v>
      </c>
      <c r="B49" s="1">
        <v>45496</v>
      </c>
      <c r="C49" t="s">
        <v>26</v>
      </c>
      <c r="D49" t="s">
        <v>27</v>
      </c>
      <c r="E49" t="s">
        <v>19</v>
      </c>
      <c r="F49">
        <v>5</v>
      </c>
      <c r="G49">
        <v>485.1</v>
      </c>
      <c r="H49">
        <v>0</v>
      </c>
      <c r="I49">
        <v>2425.5</v>
      </c>
      <c r="J49">
        <v>16.75</v>
      </c>
      <c r="K49" t="s">
        <v>29</v>
      </c>
      <c r="L49" t="str">
        <f t="shared" si="0"/>
        <v>OK</v>
      </c>
      <c r="M49" t="str">
        <f t="shared" si="1"/>
        <v>OK</v>
      </c>
      <c r="N49" t="str">
        <f t="shared" si="2"/>
        <v>Small Business</v>
      </c>
      <c r="O49">
        <f t="shared" si="3"/>
        <v>2425.5</v>
      </c>
      <c r="P49" t="str">
        <f t="shared" si="4"/>
        <v>OK</v>
      </c>
      <c r="Q49" t="str">
        <f t="shared" si="5"/>
        <v>Clean: No issues</v>
      </c>
    </row>
    <row r="50" spans="1:17">
      <c r="A50" t="s">
        <v>77</v>
      </c>
      <c r="B50" s="1">
        <v>45639</v>
      </c>
      <c r="C50" t="s">
        <v>17</v>
      </c>
      <c r="D50" t="s">
        <v>27</v>
      </c>
      <c r="E50" t="s">
        <v>19</v>
      </c>
      <c r="F50">
        <v>5</v>
      </c>
      <c r="G50">
        <v>101.9</v>
      </c>
      <c r="H50">
        <v>0</v>
      </c>
      <c r="I50">
        <v>509.5</v>
      </c>
      <c r="J50">
        <v>15.35</v>
      </c>
      <c r="K50" t="s">
        <v>34</v>
      </c>
      <c r="L50" t="str">
        <f t="shared" si="0"/>
        <v>OK</v>
      </c>
      <c r="M50" t="str">
        <f t="shared" si="1"/>
        <v>OK</v>
      </c>
      <c r="N50" t="str">
        <f t="shared" si="2"/>
        <v>Corporate</v>
      </c>
      <c r="O50">
        <f t="shared" si="3"/>
        <v>509.5</v>
      </c>
      <c r="P50" t="str">
        <f t="shared" si="4"/>
        <v>OK</v>
      </c>
      <c r="Q50" t="str">
        <f t="shared" si="5"/>
        <v>Clean: No issues</v>
      </c>
    </row>
    <row r="51" spans="1:17">
      <c r="A51" t="s">
        <v>78</v>
      </c>
      <c r="B51" s="1">
        <v>45311</v>
      </c>
      <c r="C51" t="s">
        <v>12</v>
      </c>
      <c r="D51" t="s">
        <v>22</v>
      </c>
      <c r="E51" t="s">
        <v>23</v>
      </c>
      <c r="F51">
        <v>6</v>
      </c>
      <c r="G51">
        <v>61.67</v>
      </c>
      <c r="H51">
        <v>5</v>
      </c>
      <c r="I51">
        <v>351.52</v>
      </c>
      <c r="J51">
        <v>15.94</v>
      </c>
      <c r="K51" t="s">
        <v>15</v>
      </c>
      <c r="L51" t="str">
        <f t="shared" si="0"/>
        <v>OK</v>
      </c>
      <c r="M51" t="str">
        <f t="shared" si="1"/>
        <v>OK</v>
      </c>
      <c r="N51" t="str">
        <f t="shared" si="2"/>
        <v>Consumer</v>
      </c>
      <c r="O51">
        <f t="shared" si="3"/>
        <v>351.52</v>
      </c>
      <c r="P51" t="str">
        <f t="shared" si="4"/>
        <v>OK</v>
      </c>
      <c r="Q51" t="str">
        <f t="shared" si="5"/>
        <v>Clean: No issues</v>
      </c>
    </row>
    <row r="52" spans="1:17">
      <c r="A52" t="s">
        <v>79</v>
      </c>
      <c r="B52" s="1">
        <v>45351</v>
      </c>
      <c r="C52" t="s">
        <v>26</v>
      </c>
      <c r="D52" t="s">
        <v>22</v>
      </c>
      <c r="E52" t="s">
        <v>36</v>
      </c>
      <c r="F52">
        <v>7</v>
      </c>
      <c r="G52">
        <v>19.010000000000002</v>
      </c>
      <c r="H52">
        <v>0</v>
      </c>
      <c r="I52">
        <v>133.07</v>
      </c>
      <c r="J52">
        <v>13.96</v>
      </c>
      <c r="K52" t="s">
        <v>15</v>
      </c>
      <c r="L52" t="str">
        <f t="shared" si="0"/>
        <v>OK</v>
      </c>
      <c r="M52" t="str">
        <f t="shared" si="1"/>
        <v>OK</v>
      </c>
      <c r="N52" t="str">
        <f t="shared" si="2"/>
        <v>Small Business</v>
      </c>
      <c r="O52">
        <f t="shared" si="3"/>
        <v>133.07</v>
      </c>
      <c r="P52" t="str">
        <f t="shared" si="4"/>
        <v>OK</v>
      </c>
      <c r="Q52" t="str">
        <f t="shared" si="5"/>
        <v>Clean: No issues</v>
      </c>
    </row>
    <row r="53" spans="1:17">
      <c r="A53" t="s">
        <v>80</v>
      </c>
      <c r="B53" s="1">
        <v>45643</v>
      </c>
      <c r="C53" t="s">
        <v>17</v>
      </c>
      <c r="D53" t="s">
        <v>33</v>
      </c>
      <c r="E53" t="s">
        <v>14</v>
      </c>
      <c r="F53">
        <v>6</v>
      </c>
      <c r="G53">
        <v>433.66</v>
      </c>
      <c r="H53">
        <v>10</v>
      </c>
      <c r="I53">
        <v>2341.7600000000002</v>
      </c>
      <c r="J53">
        <v>9.2200000000000006</v>
      </c>
      <c r="K53" t="s">
        <v>20</v>
      </c>
      <c r="L53" t="str">
        <f t="shared" si="0"/>
        <v>OK</v>
      </c>
      <c r="M53" t="str">
        <f t="shared" si="1"/>
        <v>OK</v>
      </c>
      <c r="N53" t="str">
        <f t="shared" si="2"/>
        <v>Corporate</v>
      </c>
      <c r="O53">
        <f t="shared" si="3"/>
        <v>2341.7600000000002</v>
      </c>
      <c r="P53" t="str">
        <f t="shared" si="4"/>
        <v>OK</v>
      </c>
      <c r="Q53" t="str">
        <f t="shared" si="5"/>
        <v>Clean: No issues</v>
      </c>
    </row>
    <row r="54" spans="1:17">
      <c r="A54" t="s">
        <v>81</v>
      </c>
      <c r="B54" s="1">
        <v>45445</v>
      </c>
      <c r="C54" t="s">
        <v>17</v>
      </c>
      <c r="D54" t="s">
        <v>27</v>
      </c>
      <c r="E54" t="s">
        <v>23</v>
      </c>
      <c r="F54">
        <v>5</v>
      </c>
      <c r="G54">
        <v>59.03</v>
      </c>
      <c r="H54">
        <v>10</v>
      </c>
      <c r="I54">
        <v>265.63</v>
      </c>
      <c r="J54">
        <v>4.93</v>
      </c>
      <c r="K54" t="s">
        <v>29</v>
      </c>
      <c r="L54" t="str">
        <f t="shared" si="0"/>
        <v>OK</v>
      </c>
      <c r="M54" t="str">
        <f t="shared" si="1"/>
        <v>OK</v>
      </c>
      <c r="N54" t="str">
        <f t="shared" si="2"/>
        <v>Corporate</v>
      </c>
      <c r="O54">
        <f t="shared" si="3"/>
        <v>265.64</v>
      </c>
      <c r="P54" t="str">
        <f t="shared" si="4"/>
        <v>OK</v>
      </c>
      <c r="Q54" t="str">
        <f t="shared" si="5"/>
        <v>Clean: No issues</v>
      </c>
    </row>
    <row r="55" spans="1:17">
      <c r="A55" t="s">
        <v>82</v>
      </c>
      <c r="B55" s="1">
        <v>45632</v>
      </c>
      <c r="C55" t="s">
        <v>26</v>
      </c>
      <c r="D55" t="s">
        <v>33</v>
      </c>
      <c r="E55" t="s">
        <v>31</v>
      </c>
      <c r="F55">
        <v>7</v>
      </c>
      <c r="G55">
        <v>179.35</v>
      </c>
      <c r="H55">
        <v>10</v>
      </c>
      <c r="I55">
        <v>1129.9000000000001</v>
      </c>
      <c r="J55">
        <v>21.18</v>
      </c>
      <c r="K55" t="s">
        <v>34</v>
      </c>
      <c r="L55" t="str">
        <f t="shared" si="0"/>
        <v>OK</v>
      </c>
      <c r="M55" t="str">
        <f t="shared" si="1"/>
        <v>OK</v>
      </c>
      <c r="N55" t="str">
        <f t="shared" si="2"/>
        <v>Small Business</v>
      </c>
      <c r="O55">
        <f t="shared" si="3"/>
        <v>1129.9100000000001</v>
      </c>
      <c r="P55" t="str">
        <f t="shared" si="4"/>
        <v>OK</v>
      </c>
      <c r="Q55" t="str">
        <f t="shared" si="5"/>
        <v>Clean: No issues</v>
      </c>
    </row>
    <row r="56" spans="1:17">
      <c r="A56" t="s">
        <v>83</v>
      </c>
      <c r="B56" s="1">
        <v>45438</v>
      </c>
      <c r="C56" t="s">
        <v>12</v>
      </c>
      <c r="D56" t="s">
        <v>18</v>
      </c>
      <c r="E56" t="s">
        <v>31</v>
      </c>
      <c r="F56">
        <v>6</v>
      </c>
      <c r="G56">
        <v>189.87</v>
      </c>
      <c r="H56">
        <v>5</v>
      </c>
      <c r="I56">
        <v>1082.26</v>
      </c>
      <c r="J56">
        <v>12.16</v>
      </c>
      <c r="K56" t="s">
        <v>24</v>
      </c>
      <c r="L56" t="str">
        <f t="shared" si="0"/>
        <v>OK</v>
      </c>
      <c r="M56" t="str">
        <f t="shared" si="1"/>
        <v>OK</v>
      </c>
      <c r="N56" t="str">
        <f t="shared" si="2"/>
        <v>Consumer</v>
      </c>
      <c r="O56">
        <f t="shared" si="3"/>
        <v>1082.26</v>
      </c>
      <c r="P56" t="str">
        <f t="shared" si="4"/>
        <v>OK</v>
      </c>
      <c r="Q56" t="str">
        <f t="shared" si="5"/>
        <v>Clean: No issues</v>
      </c>
    </row>
    <row r="57" spans="1:17">
      <c r="A57" t="s">
        <v>84</v>
      </c>
      <c r="B57" s="1">
        <v>45553</v>
      </c>
      <c r="C57" t="s">
        <v>26</v>
      </c>
      <c r="D57" t="s">
        <v>33</v>
      </c>
      <c r="E57" t="s">
        <v>19</v>
      </c>
      <c r="F57">
        <v>6</v>
      </c>
      <c r="G57">
        <v>177.7</v>
      </c>
      <c r="H57">
        <v>0</v>
      </c>
      <c r="I57">
        <v>1066.2</v>
      </c>
      <c r="J57">
        <v>20.82</v>
      </c>
      <c r="K57" t="s">
        <v>24</v>
      </c>
      <c r="L57" t="str">
        <f t="shared" si="0"/>
        <v>OK</v>
      </c>
      <c r="M57" t="str">
        <f t="shared" si="1"/>
        <v>OK</v>
      </c>
      <c r="N57" t="str">
        <f t="shared" si="2"/>
        <v>Small Business</v>
      </c>
      <c r="O57">
        <f t="shared" si="3"/>
        <v>1066.2</v>
      </c>
      <c r="P57" t="str">
        <f t="shared" si="4"/>
        <v>OK</v>
      </c>
      <c r="Q57" t="str">
        <f t="shared" si="5"/>
        <v>Clean: No issues</v>
      </c>
    </row>
    <row r="58" spans="1:17">
      <c r="A58" t="s">
        <v>85</v>
      </c>
      <c r="B58" s="1">
        <v>45636</v>
      </c>
      <c r="C58" t="s">
        <v>26</v>
      </c>
      <c r="D58" t="s">
        <v>33</v>
      </c>
      <c r="E58" t="s">
        <v>36</v>
      </c>
      <c r="F58">
        <v>1</v>
      </c>
      <c r="G58">
        <v>13.1</v>
      </c>
      <c r="H58">
        <v>0</v>
      </c>
      <c r="I58">
        <v>13.1</v>
      </c>
      <c r="J58">
        <v>24.63</v>
      </c>
      <c r="K58" t="s">
        <v>15</v>
      </c>
      <c r="L58" t="str">
        <f t="shared" si="0"/>
        <v>OK</v>
      </c>
      <c r="M58" t="str">
        <f t="shared" si="1"/>
        <v>OK</v>
      </c>
      <c r="N58" t="str">
        <f t="shared" si="2"/>
        <v>Small Business</v>
      </c>
      <c r="O58">
        <f t="shared" si="3"/>
        <v>13.1</v>
      </c>
      <c r="P58" t="str">
        <f t="shared" si="4"/>
        <v>OK</v>
      </c>
      <c r="Q58" t="str">
        <f t="shared" si="5"/>
        <v>Clean: No issues</v>
      </c>
    </row>
    <row r="59" spans="1:17">
      <c r="A59" t="s">
        <v>86</v>
      </c>
      <c r="B59" s="1">
        <v>45329</v>
      </c>
      <c r="C59" t="s">
        <v>26</v>
      </c>
      <c r="D59" t="s">
        <v>18</v>
      </c>
      <c r="E59" t="s">
        <v>31</v>
      </c>
      <c r="F59">
        <v>7</v>
      </c>
      <c r="G59">
        <v>74.44</v>
      </c>
      <c r="H59">
        <v>5</v>
      </c>
      <c r="I59">
        <v>495.03</v>
      </c>
      <c r="J59">
        <v>11.19</v>
      </c>
      <c r="K59" t="s">
        <v>24</v>
      </c>
      <c r="L59" t="str">
        <f t="shared" si="0"/>
        <v>OK</v>
      </c>
      <c r="M59" t="str">
        <f t="shared" si="1"/>
        <v>OK</v>
      </c>
      <c r="N59" t="str">
        <f t="shared" si="2"/>
        <v>Small Business</v>
      </c>
      <c r="O59">
        <f t="shared" si="3"/>
        <v>495.03</v>
      </c>
      <c r="P59" t="str">
        <f t="shared" si="4"/>
        <v>OK</v>
      </c>
      <c r="Q59" t="str">
        <f t="shared" si="5"/>
        <v>Clean: No issues</v>
      </c>
    </row>
    <row r="60" spans="1:17">
      <c r="A60" t="s">
        <v>87</v>
      </c>
      <c r="B60" s="1">
        <v>45627</v>
      </c>
      <c r="C60" t="s">
        <v>17</v>
      </c>
      <c r="D60" t="s">
        <v>13</v>
      </c>
      <c r="E60" t="s">
        <v>19</v>
      </c>
      <c r="F60">
        <v>4</v>
      </c>
      <c r="G60">
        <v>400.29</v>
      </c>
      <c r="H60">
        <v>0</v>
      </c>
      <c r="I60">
        <v>1601.16</v>
      </c>
      <c r="J60">
        <v>20.49</v>
      </c>
      <c r="K60" t="s">
        <v>15</v>
      </c>
      <c r="L60" t="str">
        <f t="shared" si="0"/>
        <v>OK</v>
      </c>
      <c r="M60" t="str">
        <f t="shared" si="1"/>
        <v>OK</v>
      </c>
      <c r="N60" t="str">
        <f t="shared" si="2"/>
        <v>Corporate</v>
      </c>
      <c r="O60">
        <f t="shared" si="3"/>
        <v>1601.16</v>
      </c>
      <c r="P60" t="str">
        <f t="shared" si="4"/>
        <v>OK</v>
      </c>
      <c r="Q60" t="str">
        <f t="shared" si="5"/>
        <v>Clean: No issues</v>
      </c>
    </row>
    <row r="61" spans="1:17">
      <c r="A61" t="s">
        <v>88</v>
      </c>
      <c r="B61" s="1">
        <v>45529</v>
      </c>
      <c r="C61" t="s">
        <v>12</v>
      </c>
      <c r="D61" t="s">
        <v>22</v>
      </c>
      <c r="E61" t="s">
        <v>36</v>
      </c>
      <c r="F61">
        <v>2</v>
      </c>
      <c r="G61">
        <v>55.46</v>
      </c>
      <c r="H61">
        <v>5</v>
      </c>
      <c r="I61">
        <v>105.37</v>
      </c>
      <c r="J61">
        <v>5.07</v>
      </c>
      <c r="K61" t="s">
        <v>29</v>
      </c>
      <c r="L61" t="str">
        <f t="shared" si="0"/>
        <v>OK</v>
      </c>
      <c r="M61" t="str">
        <f t="shared" si="1"/>
        <v>OK</v>
      </c>
      <c r="N61" t="str">
        <f t="shared" si="2"/>
        <v>Consumer</v>
      </c>
      <c r="O61">
        <f t="shared" si="3"/>
        <v>105.37</v>
      </c>
      <c r="P61" t="str">
        <f t="shared" si="4"/>
        <v>OK</v>
      </c>
      <c r="Q61" t="str">
        <f t="shared" si="5"/>
        <v>Clean: No issues</v>
      </c>
    </row>
    <row r="62" spans="1:17">
      <c r="A62" t="s">
        <v>89</v>
      </c>
      <c r="B62" s="1">
        <v>45633</v>
      </c>
      <c r="C62" t="s">
        <v>17</v>
      </c>
      <c r="D62" t="s">
        <v>22</v>
      </c>
      <c r="E62" t="s">
        <v>31</v>
      </c>
      <c r="F62">
        <v>8</v>
      </c>
      <c r="G62">
        <v>108.84</v>
      </c>
      <c r="H62">
        <v>10</v>
      </c>
      <c r="I62">
        <v>783.65</v>
      </c>
      <c r="J62">
        <v>20.75</v>
      </c>
      <c r="K62" t="s">
        <v>15</v>
      </c>
      <c r="L62" t="str">
        <f t="shared" si="0"/>
        <v>OK</v>
      </c>
      <c r="M62" t="str">
        <f t="shared" si="1"/>
        <v>OK</v>
      </c>
      <c r="N62" t="str">
        <f t="shared" si="2"/>
        <v>Corporate</v>
      </c>
      <c r="O62">
        <f t="shared" si="3"/>
        <v>783.65</v>
      </c>
      <c r="P62" t="str">
        <f t="shared" si="4"/>
        <v>OK</v>
      </c>
      <c r="Q62" t="str">
        <f t="shared" si="5"/>
        <v>Clean: No issues</v>
      </c>
    </row>
    <row r="63" spans="1:17">
      <c r="A63" t="s">
        <v>90</v>
      </c>
      <c r="B63" s="1">
        <v>45510</v>
      </c>
      <c r="C63" t="s">
        <v>17</v>
      </c>
      <c r="D63" t="s">
        <v>18</v>
      </c>
      <c r="E63" t="s">
        <v>36</v>
      </c>
      <c r="F63">
        <v>8</v>
      </c>
      <c r="G63">
        <v>45.9</v>
      </c>
      <c r="H63">
        <v>5</v>
      </c>
      <c r="I63">
        <v>348.84</v>
      </c>
      <c r="J63">
        <v>7.96</v>
      </c>
      <c r="K63" t="s">
        <v>24</v>
      </c>
      <c r="L63" t="str">
        <f t="shared" si="0"/>
        <v>OK</v>
      </c>
      <c r="M63" t="str">
        <f t="shared" si="1"/>
        <v>OK</v>
      </c>
      <c r="N63" t="str">
        <f t="shared" si="2"/>
        <v>Corporate</v>
      </c>
      <c r="O63">
        <f t="shared" si="3"/>
        <v>348.84</v>
      </c>
      <c r="P63" t="str">
        <f t="shared" si="4"/>
        <v>OK</v>
      </c>
      <c r="Q63" t="str">
        <f t="shared" si="5"/>
        <v>Clean: No issues</v>
      </c>
    </row>
    <row r="64" spans="1:17">
      <c r="A64" t="s">
        <v>91</v>
      </c>
      <c r="B64" s="1">
        <v>45618</v>
      </c>
      <c r="C64" t="s">
        <v>26</v>
      </c>
      <c r="D64" t="s">
        <v>22</v>
      </c>
      <c r="E64" t="s">
        <v>23</v>
      </c>
      <c r="F64">
        <v>5</v>
      </c>
      <c r="G64">
        <v>99.61</v>
      </c>
      <c r="H64">
        <v>5</v>
      </c>
      <c r="I64">
        <v>473.15</v>
      </c>
      <c r="J64">
        <v>3.78</v>
      </c>
      <c r="K64" t="s">
        <v>34</v>
      </c>
      <c r="L64" t="str">
        <f t="shared" si="0"/>
        <v>OK</v>
      </c>
      <c r="M64" t="str">
        <f t="shared" si="1"/>
        <v>OK</v>
      </c>
      <c r="N64" t="str">
        <f t="shared" si="2"/>
        <v>Small Business</v>
      </c>
      <c r="O64">
        <f t="shared" si="3"/>
        <v>473.15</v>
      </c>
      <c r="P64" t="str">
        <f t="shared" si="4"/>
        <v>OK</v>
      </c>
      <c r="Q64" t="str">
        <f t="shared" si="5"/>
        <v>Clean: No issues</v>
      </c>
    </row>
    <row r="65" spans="1:17">
      <c r="A65" t="s">
        <v>92</v>
      </c>
      <c r="B65" s="1">
        <v>45412</v>
      </c>
      <c r="C65" t="s">
        <v>26</v>
      </c>
      <c r="D65" t="s">
        <v>27</v>
      </c>
      <c r="E65" t="s">
        <v>14</v>
      </c>
      <c r="F65">
        <v>2</v>
      </c>
      <c r="G65">
        <v>812.28</v>
      </c>
      <c r="H65">
        <v>0</v>
      </c>
      <c r="I65">
        <v>1624.56</v>
      </c>
      <c r="J65">
        <v>5.47</v>
      </c>
      <c r="K65" t="s">
        <v>29</v>
      </c>
      <c r="L65" t="str">
        <f t="shared" si="0"/>
        <v>OK</v>
      </c>
      <c r="M65" t="str">
        <f t="shared" si="1"/>
        <v>OK</v>
      </c>
      <c r="N65" t="str">
        <f t="shared" si="2"/>
        <v>Small Business</v>
      </c>
      <c r="O65">
        <f t="shared" si="3"/>
        <v>1624.56</v>
      </c>
      <c r="P65" t="str">
        <f t="shared" si="4"/>
        <v>OK</v>
      </c>
      <c r="Q65" t="str">
        <f t="shared" si="5"/>
        <v>Clean: No issues</v>
      </c>
    </row>
    <row r="66" spans="1:17">
      <c r="A66" t="s">
        <v>93</v>
      </c>
      <c r="B66" s="1">
        <v>45647</v>
      </c>
      <c r="C66" t="s">
        <v>12</v>
      </c>
      <c r="D66" t="s">
        <v>33</v>
      </c>
      <c r="E66" t="s">
        <v>19</v>
      </c>
      <c r="F66">
        <v>6</v>
      </c>
      <c r="G66">
        <v>236.69</v>
      </c>
      <c r="H66">
        <v>10</v>
      </c>
      <c r="I66">
        <v>1278.1300000000001</v>
      </c>
      <c r="J66">
        <v>12.72</v>
      </c>
      <c r="K66" t="s">
        <v>20</v>
      </c>
      <c r="L66" t="str">
        <f t="shared" si="0"/>
        <v>OK</v>
      </c>
      <c r="M66" t="str">
        <f t="shared" si="1"/>
        <v>OK</v>
      </c>
      <c r="N66" t="str">
        <f t="shared" si="2"/>
        <v>Consumer</v>
      </c>
      <c r="O66">
        <f t="shared" si="3"/>
        <v>1278.1300000000001</v>
      </c>
      <c r="P66" t="str">
        <f t="shared" si="4"/>
        <v>OK</v>
      </c>
      <c r="Q66" t="str">
        <f t="shared" si="5"/>
        <v>Clean: No issues</v>
      </c>
    </row>
    <row r="67" spans="1:17">
      <c r="A67" t="s">
        <v>94</v>
      </c>
      <c r="B67" s="1">
        <v>45397</v>
      </c>
      <c r="C67" t="s">
        <v>26</v>
      </c>
      <c r="D67" t="s">
        <v>18</v>
      </c>
      <c r="E67" t="s">
        <v>31</v>
      </c>
      <c r="F67">
        <v>1</v>
      </c>
      <c r="G67">
        <v>284.89999999999998</v>
      </c>
      <c r="H67">
        <v>20</v>
      </c>
      <c r="I67">
        <v>227.92</v>
      </c>
      <c r="J67">
        <v>22.26</v>
      </c>
      <c r="K67" t="s">
        <v>15</v>
      </c>
      <c r="L67" t="str">
        <f t="shared" ref="L67:L121" si="6">IF(COUNTIF($A$2:$A$121, A67)&gt;1, "Duplicate", "OK")</f>
        <v>OK</v>
      </c>
      <c r="M67" t="str">
        <f t="shared" ref="M67:M121" si="7">IF(COUNTBLANK(A67:K67)&gt;0, "Missing Value", "OK")</f>
        <v>OK</v>
      </c>
      <c r="N67" t="str">
        <f t="shared" ref="N67:N121" si="8">PROPER(C67)</f>
        <v>Small Business</v>
      </c>
      <c r="O67">
        <f t="shared" ref="O67:O121" si="9">ROUND(F67 * G67 * (1 - H67/100), 2)</f>
        <v>227.92</v>
      </c>
      <c r="P67" t="str">
        <f t="shared" ref="P67:P121" si="10">IF(ABS(O67 - I67) &gt; 0.01, "Check", "OK")</f>
        <v>OK</v>
      </c>
      <c r="Q67" t="str">
        <f t="shared" ref="Q67:Q121" si="11">IF(AND(L67="OK", M67="OK", P67="OK"), "Clean: No issues", "Review needed")</f>
        <v>Clean: No issues</v>
      </c>
    </row>
    <row r="68" spans="1:17">
      <c r="A68" t="s">
        <v>95</v>
      </c>
      <c r="B68" s="1">
        <v>45486</v>
      </c>
      <c r="C68" t="s">
        <v>26</v>
      </c>
      <c r="D68" t="s">
        <v>13</v>
      </c>
      <c r="E68" t="s">
        <v>14</v>
      </c>
      <c r="F68">
        <v>7</v>
      </c>
      <c r="G68">
        <v>324.86</v>
      </c>
      <c r="H68">
        <v>20</v>
      </c>
      <c r="I68">
        <v>1819.22</v>
      </c>
      <c r="J68">
        <v>22.51</v>
      </c>
      <c r="K68" t="s">
        <v>29</v>
      </c>
      <c r="L68" t="str">
        <f t="shared" si="6"/>
        <v>OK</v>
      </c>
      <c r="M68" t="str">
        <f t="shared" si="7"/>
        <v>OK</v>
      </c>
      <c r="N68" t="str">
        <f t="shared" si="8"/>
        <v>Small Business</v>
      </c>
      <c r="O68">
        <f t="shared" si="9"/>
        <v>1819.22</v>
      </c>
      <c r="P68" t="str">
        <f t="shared" si="10"/>
        <v>OK</v>
      </c>
      <c r="Q68" t="str">
        <f t="shared" si="11"/>
        <v>Clean: No issues</v>
      </c>
    </row>
    <row r="69" spans="1:17">
      <c r="A69" t="s">
        <v>96</v>
      </c>
      <c r="B69" s="1">
        <v>45567</v>
      </c>
      <c r="C69" t="s">
        <v>17</v>
      </c>
      <c r="D69" t="s">
        <v>22</v>
      </c>
      <c r="E69" t="s">
        <v>31</v>
      </c>
      <c r="F69">
        <v>8</v>
      </c>
      <c r="G69">
        <v>271.39</v>
      </c>
      <c r="H69">
        <v>0</v>
      </c>
      <c r="I69">
        <v>2171.12</v>
      </c>
      <c r="J69">
        <v>8.2799999999999994</v>
      </c>
      <c r="K69" t="s">
        <v>29</v>
      </c>
      <c r="L69" t="str">
        <f t="shared" si="6"/>
        <v>OK</v>
      </c>
      <c r="M69" t="str">
        <f t="shared" si="7"/>
        <v>OK</v>
      </c>
      <c r="N69" t="str">
        <f t="shared" si="8"/>
        <v>Corporate</v>
      </c>
      <c r="O69">
        <f t="shared" si="9"/>
        <v>2171.12</v>
      </c>
      <c r="P69" t="str">
        <f t="shared" si="10"/>
        <v>OK</v>
      </c>
      <c r="Q69" t="str">
        <f t="shared" si="11"/>
        <v>Clean: No issues</v>
      </c>
    </row>
    <row r="70" spans="1:17">
      <c r="A70" t="s">
        <v>97</v>
      </c>
      <c r="B70" s="1">
        <v>45306</v>
      </c>
      <c r="C70" t="s">
        <v>26</v>
      </c>
      <c r="D70" t="s">
        <v>27</v>
      </c>
      <c r="E70" t="s">
        <v>23</v>
      </c>
      <c r="F70">
        <v>8</v>
      </c>
      <c r="G70">
        <v>112.76</v>
      </c>
      <c r="H70">
        <v>0</v>
      </c>
      <c r="I70">
        <v>902.08</v>
      </c>
      <c r="J70">
        <v>24.56</v>
      </c>
      <c r="K70" t="s">
        <v>15</v>
      </c>
      <c r="L70" t="str">
        <f t="shared" si="6"/>
        <v>OK</v>
      </c>
      <c r="M70" t="str">
        <f t="shared" si="7"/>
        <v>OK</v>
      </c>
      <c r="N70" t="str">
        <f t="shared" si="8"/>
        <v>Small Business</v>
      </c>
      <c r="O70">
        <f t="shared" si="9"/>
        <v>902.08</v>
      </c>
      <c r="P70" t="str">
        <f t="shared" si="10"/>
        <v>OK</v>
      </c>
      <c r="Q70" t="str">
        <f t="shared" si="11"/>
        <v>Clean: No issues</v>
      </c>
    </row>
    <row r="71" spans="1:17">
      <c r="A71" t="s">
        <v>98</v>
      </c>
      <c r="B71" s="1">
        <v>45305</v>
      </c>
      <c r="C71" t="s">
        <v>26</v>
      </c>
      <c r="D71" t="s">
        <v>22</v>
      </c>
      <c r="E71" t="s">
        <v>31</v>
      </c>
      <c r="F71">
        <v>2</v>
      </c>
      <c r="G71">
        <v>205.64</v>
      </c>
      <c r="H71">
        <v>15</v>
      </c>
      <c r="I71">
        <v>349.59</v>
      </c>
      <c r="J71">
        <v>11.86</v>
      </c>
      <c r="K71" t="s">
        <v>29</v>
      </c>
      <c r="L71" t="str">
        <f t="shared" si="6"/>
        <v>OK</v>
      </c>
      <c r="M71" t="str">
        <f t="shared" si="7"/>
        <v>OK</v>
      </c>
      <c r="N71" t="str">
        <f t="shared" si="8"/>
        <v>Small Business</v>
      </c>
      <c r="O71">
        <f t="shared" si="9"/>
        <v>349.59</v>
      </c>
      <c r="P71" t="str">
        <f t="shared" si="10"/>
        <v>OK</v>
      </c>
      <c r="Q71" t="str">
        <f t="shared" si="11"/>
        <v>Clean: No issues</v>
      </c>
    </row>
    <row r="72" spans="1:17">
      <c r="A72" t="s">
        <v>99</v>
      </c>
      <c r="B72" s="1">
        <v>45385</v>
      </c>
      <c r="C72" t="s">
        <v>12</v>
      </c>
      <c r="D72" t="s">
        <v>27</v>
      </c>
      <c r="E72" t="s">
        <v>23</v>
      </c>
      <c r="F72">
        <v>8</v>
      </c>
      <c r="G72">
        <v>59.19</v>
      </c>
      <c r="H72">
        <v>0</v>
      </c>
      <c r="I72">
        <v>473.52</v>
      </c>
      <c r="J72">
        <v>9.76</v>
      </c>
      <c r="K72" t="s">
        <v>29</v>
      </c>
      <c r="L72" t="str">
        <f t="shared" si="6"/>
        <v>OK</v>
      </c>
      <c r="M72" t="str">
        <f t="shared" si="7"/>
        <v>OK</v>
      </c>
      <c r="N72" t="str">
        <f t="shared" si="8"/>
        <v>Consumer</v>
      </c>
      <c r="O72">
        <f t="shared" si="9"/>
        <v>473.52</v>
      </c>
      <c r="P72" t="str">
        <f t="shared" si="10"/>
        <v>OK</v>
      </c>
      <c r="Q72" t="str">
        <f t="shared" si="11"/>
        <v>Clean: No issues</v>
      </c>
    </row>
    <row r="73" spans="1:17">
      <c r="A73" t="s">
        <v>100</v>
      </c>
      <c r="B73" s="1">
        <v>45434</v>
      </c>
      <c r="C73" t="s">
        <v>26</v>
      </c>
      <c r="D73" t="s">
        <v>27</v>
      </c>
      <c r="E73" t="s">
        <v>19</v>
      </c>
      <c r="F73">
        <v>1</v>
      </c>
      <c r="G73">
        <v>261.64</v>
      </c>
      <c r="H73">
        <v>0</v>
      </c>
      <c r="I73">
        <v>261.64</v>
      </c>
      <c r="J73">
        <v>7.16</v>
      </c>
      <c r="K73" t="s">
        <v>20</v>
      </c>
      <c r="L73" t="str">
        <f t="shared" si="6"/>
        <v>OK</v>
      </c>
      <c r="M73" t="str">
        <f t="shared" si="7"/>
        <v>OK</v>
      </c>
      <c r="N73" t="str">
        <f t="shared" si="8"/>
        <v>Small Business</v>
      </c>
      <c r="O73">
        <f t="shared" si="9"/>
        <v>261.64</v>
      </c>
      <c r="P73" t="str">
        <f t="shared" si="10"/>
        <v>OK</v>
      </c>
      <c r="Q73" t="str">
        <f t="shared" si="11"/>
        <v>Clean: No issues</v>
      </c>
    </row>
    <row r="74" spans="1:17">
      <c r="A74" t="s">
        <v>101</v>
      </c>
      <c r="B74" s="1">
        <v>45625</v>
      </c>
      <c r="C74" t="s">
        <v>12</v>
      </c>
      <c r="D74" t="s">
        <v>13</v>
      </c>
      <c r="E74" t="s">
        <v>36</v>
      </c>
      <c r="F74">
        <v>1</v>
      </c>
      <c r="G74">
        <v>15.96</v>
      </c>
      <c r="H74">
        <v>10</v>
      </c>
      <c r="I74">
        <v>14.36</v>
      </c>
      <c r="J74">
        <v>5.5</v>
      </c>
      <c r="K74" t="s">
        <v>24</v>
      </c>
      <c r="L74" t="str">
        <f t="shared" si="6"/>
        <v>OK</v>
      </c>
      <c r="M74" t="str">
        <f t="shared" si="7"/>
        <v>OK</v>
      </c>
      <c r="N74" t="str">
        <f t="shared" si="8"/>
        <v>Consumer</v>
      </c>
      <c r="O74">
        <f t="shared" si="9"/>
        <v>14.36</v>
      </c>
      <c r="P74" t="str">
        <f t="shared" si="10"/>
        <v>OK</v>
      </c>
      <c r="Q74" t="str">
        <f t="shared" si="11"/>
        <v>Clean: No issues</v>
      </c>
    </row>
    <row r="75" spans="1:17">
      <c r="A75" t="s">
        <v>102</v>
      </c>
      <c r="B75" s="1">
        <v>45534</v>
      </c>
      <c r="C75" t="s">
        <v>17</v>
      </c>
      <c r="D75" t="s">
        <v>13</v>
      </c>
      <c r="E75" t="s">
        <v>31</v>
      </c>
      <c r="F75">
        <v>8</v>
      </c>
      <c r="G75">
        <v>285.37</v>
      </c>
      <c r="H75">
        <v>15</v>
      </c>
      <c r="I75">
        <v>1940.52</v>
      </c>
      <c r="J75">
        <v>7.89</v>
      </c>
      <c r="K75" t="s">
        <v>34</v>
      </c>
      <c r="L75" t="str">
        <f t="shared" si="6"/>
        <v>OK</v>
      </c>
      <c r="M75" t="str">
        <f t="shared" si="7"/>
        <v>OK</v>
      </c>
      <c r="N75" t="str">
        <f t="shared" si="8"/>
        <v>Corporate</v>
      </c>
      <c r="O75">
        <f t="shared" si="9"/>
        <v>1940.52</v>
      </c>
      <c r="P75" t="str">
        <f t="shared" si="10"/>
        <v>OK</v>
      </c>
      <c r="Q75" t="str">
        <f t="shared" si="11"/>
        <v>Clean: No issues</v>
      </c>
    </row>
    <row r="76" spans="1:17">
      <c r="A76" t="s">
        <v>103</v>
      </c>
      <c r="B76" s="1">
        <v>45377</v>
      </c>
      <c r="C76" t="s">
        <v>17</v>
      </c>
      <c r="D76" t="s">
        <v>22</v>
      </c>
      <c r="E76" t="s">
        <v>19</v>
      </c>
      <c r="F76">
        <v>3</v>
      </c>
      <c r="G76">
        <v>400.01</v>
      </c>
      <c r="H76">
        <v>0</v>
      </c>
      <c r="I76">
        <v>1200.03</v>
      </c>
      <c r="J76">
        <v>4.49</v>
      </c>
      <c r="K76" t="s">
        <v>20</v>
      </c>
      <c r="L76" t="str">
        <f t="shared" si="6"/>
        <v>OK</v>
      </c>
      <c r="M76" t="str">
        <f t="shared" si="7"/>
        <v>OK</v>
      </c>
      <c r="N76" t="str">
        <f t="shared" si="8"/>
        <v>Corporate</v>
      </c>
      <c r="O76">
        <f t="shared" si="9"/>
        <v>1200.03</v>
      </c>
      <c r="P76" t="str">
        <f t="shared" si="10"/>
        <v>OK</v>
      </c>
      <c r="Q76" t="str">
        <f t="shared" si="11"/>
        <v>Clean: No issues</v>
      </c>
    </row>
    <row r="77" spans="1:17">
      <c r="A77" t="s">
        <v>104</v>
      </c>
      <c r="B77" s="1">
        <v>45451</v>
      </c>
      <c r="C77" t="s">
        <v>17</v>
      </c>
      <c r="D77" t="s">
        <v>18</v>
      </c>
      <c r="E77" t="s">
        <v>23</v>
      </c>
      <c r="F77">
        <v>4</v>
      </c>
      <c r="G77">
        <v>142.1</v>
      </c>
      <c r="H77">
        <v>0</v>
      </c>
      <c r="I77">
        <v>568.4</v>
      </c>
      <c r="J77">
        <v>15.62</v>
      </c>
      <c r="K77" t="s">
        <v>24</v>
      </c>
      <c r="L77" t="str">
        <f t="shared" si="6"/>
        <v>OK</v>
      </c>
      <c r="M77" t="str">
        <f t="shared" si="7"/>
        <v>OK</v>
      </c>
      <c r="N77" t="str">
        <f t="shared" si="8"/>
        <v>Corporate</v>
      </c>
      <c r="O77">
        <f t="shared" si="9"/>
        <v>568.4</v>
      </c>
      <c r="P77" t="str">
        <f t="shared" si="10"/>
        <v>OK</v>
      </c>
      <c r="Q77" t="str">
        <f t="shared" si="11"/>
        <v>Clean: No issues</v>
      </c>
    </row>
    <row r="78" spans="1:17">
      <c r="A78" t="s">
        <v>105</v>
      </c>
      <c r="B78" s="1">
        <v>45344</v>
      </c>
      <c r="C78" t="s">
        <v>17</v>
      </c>
      <c r="D78" t="s">
        <v>27</v>
      </c>
      <c r="E78" t="s">
        <v>31</v>
      </c>
      <c r="F78">
        <v>1</v>
      </c>
      <c r="G78">
        <v>245.55</v>
      </c>
      <c r="H78">
        <v>0</v>
      </c>
      <c r="I78">
        <v>245.55</v>
      </c>
      <c r="J78">
        <v>14.25</v>
      </c>
      <c r="K78" t="s">
        <v>34</v>
      </c>
      <c r="L78" t="str">
        <f t="shared" si="6"/>
        <v>OK</v>
      </c>
      <c r="M78" t="str">
        <f t="shared" si="7"/>
        <v>OK</v>
      </c>
      <c r="N78" t="str">
        <f t="shared" si="8"/>
        <v>Corporate</v>
      </c>
      <c r="O78">
        <f t="shared" si="9"/>
        <v>245.55</v>
      </c>
      <c r="P78" t="str">
        <f t="shared" si="10"/>
        <v>OK</v>
      </c>
      <c r="Q78" t="str">
        <f t="shared" si="11"/>
        <v>Clean: No issues</v>
      </c>
    </row>
    <row r="79" spans="1:17">
      <c r="A79" t="s">
        <v>106</v>
      </c>
      <c r="B79" s="1">
        <v>45327</v>
      </c>
      <c r="C79" t="s">
        <v>17</v>
      </c>
      <c r="D79" t="s">
        <v>27</v>
      </c>
      <c r="E79" t="s">
        <v>19</v>
      </c>
      <c r="F79">
        <v>8</v>
      </c>
      <c r="G79">
        <v>432.31</v>
      </c>
      <c r="H79">
        <v>0</v>
      </c>
      <c r="I79">
        <v>3458.48</v>
      </c>
      <c r="J79">
        <v>11.97</v>
      </c>
      <c r="K79" t="s">
        <v>34</v>
      </c>
      <c r="L79" t="str">
        <f t="shared" si="6"/>
        <v>OK</v>
      </c>
      <c r="M79" t="str">
        <f t="shared" si="7"/>
        <v>OK</v>
      </c>
      <c r="N79" t="str">
        <f t="shared" si="8"/>
        <v>Corporate</v>
      </c>
      <c r="O79">
        <f t="shared" si="9"/>
        <v>3458.48</v>
      </c>
      <c r="P79" t="str">
        <f t="shared" si="10"/>
        <v>OK</v>
      </c>
      <c r="Q79" t="str">
        <f t="shared" si="11"/>
        <v>Clean: No issues</v>
      </c>
    </row>
    <row r="80" spans="1:17">
      <c r="A80" t="s">
        <v>107</v>
      </c>
      <c r="B80" s="1">
        <v>45617</v>
      </c>
      <c r="C80" t="s">
        <v>26</v>
      </c>
      <c r="D80" t="s">
        <v>33</v>
      </c>
      <c r="E80" t="s">
        <v>23</v>
      </c>
      <c r="F80">
        <v>5</v>
      </c>
      <c r="G80">
        <v>38.78</v>
      </c>
      <c r="H80">
        <v>10</v>
      </c>
      <c r="I80">
        <v>174.51</v>
      </c>
      <c r="J80">
        <v>20.59</v>
      </c>
      <c r="K80" t="s">
        <v>15</v>
      </c>
      <c r="L80" t="str">
        <f t="shared" si="6"/>
        <v>OK</v>
      </c>
      <c r="M80" t="str">
        <f t="shared" si="7"/>
        <v>OK</v>
      </c>
      <c r="N80" t="str">
        <f t="shared" si="8"/>
        <v>Small Business</v>
      </c>
      <c r="O80">
        <f t="shared" si="9"/>
        <v>174.51</v>
      </c>
      <c r="P80" t="str">
        <f t="shared" si="10"/>
        <v>OK</v>
      </c>
      <c r="Q80" t="str">
        <f t="shared" si="11"/>
        <v>Clean: No issues</v>
      </c>
    </row>
    <row r="81" spans="1:17">
      <c r="A81" t="s">
        <v>108</v>
      </c>
      <c r="B81" s="1">
        <v>45539</v>
      </c>
      <c r="C81" t="s">
        <v>26</v>
      </c>
      <c r="D81" t="s">
        <v>18</v>
      </c>
      <c r="E81" t="s">
        <v>31</v>
      </c>
      <c r="F81">
        <v>4</v>
      </c>
      <c r="G81">
        <v>95.15</v>
      </c>
      <c r="H81">
        <v>20</v>
      </c>
      <c r="I81">
        <v>304.48</v>
      </c>
      <c r="J81">
        <v>23.5</v>
      </c>
      <c r="K81" t="s">
        <v>34</v>
      </c>
      <c r="L81" t="str">
        <f t="shared" si="6"/>
        <v>OK</v>
      </c>
      <c r="M81" t="str">
        <f t="shared" si="7"/>
        <v>OK</v>
      </c>
      <c r="N81" t="str">
        <f t="shared" si="8"/>
        <v>Small Business</v>
      </c>
      <c r="O81">
        <f t="shared" si="9"/>
        <v>304.48</v>
      </c>
      <c r="P81" t="str">
        <f t="shared" si="10"/>
        <v>OK</v>
      </c>
      <c r="Q81" t="str">
        <f t="shared" si="11"/>
        <v>Clean: No issues</v>
      </c>
    </row>
    <row r="82" spans="1:17">
      <c r="A82" t="s">
        <v>109</v>
      </c>
      <c r="B82" s="1">
        <v>45522</v>
      </c>
      <c r="C82" t="s">
        <v>12</v>
      </c>
      <c r="D82" t="s">
        <v>18</v>
      </c>
      <c r="E82" t="s">
        <v>31</v>
      </c>
      <c r="F82">
        <v>7</v>
      </c>
      <c r="G82">
        <v>190.89</v>
      </c>
      <c r="H82">
        <v>0</v>
      </c>
      <c r="I82">
        <v>1336.23</v>
      </c>
      <c r="J82">
        <v>2.66</v>
      </c>
      <c r="K82" t="s">
        <v>34</v>
      </c>
      <c r="L82" t="str">
        <f t="shared" si="6"/>
        <v>OK</v>
      </c>
      <c r="M82" t="str">
        <f t="shared" si="7"/>
        <v>OK</v>
      </c>
      <c r="N82" t="str">
        <f t="shared" si="8"/>
        <v>Consumer</v>
      </c>
      <c r="O82">
        <f t="shared" si="9"/>
        <v>1336.23</v>
      </c>
      <c r="P82" t="str">
        <f t="shared" si="10"/>
        <v>OK</v>
      </c>
      <c r="Q82" t="str">
        <f t="shared" si="11"/>
        <v>Clean: No issues</v>
      </c>
    </row>
    <row r="83" spans="1:17">
      <c r="A83" t="s">
        <v>110</v>
      </c>
      <c r="B83" s="1">
        <v>45385</v>
      </c>
      <c r="C83" t="s">
        <v>26</v>
      </c>
      <c r="D83" t="s">
        <v>33</v>
      </c>
      <c r="E83" t="s">
        <v>14</v>
      </c>
      <c r="F83">
        <v>6</v>
      </c>
      <c r="G83">
        <v>734.22</v>
      </c>
      <c r="H83">
        <v>0</v>
      </c>
      <c r="I83">
        <v>4405.32</v>
      </c>
      <c r="J83">
        <v>22.25</v>
      </c>
      <c r="K83" t="s">
        <v>34</v>
      </c>
      <c r="L83" t="str">
        <f t="shared" si="6"/>
        <v>OK</v>
      </c>
      <c r="M83" t="str">
        <f t="shared" si="7"/>
        <v>OK</v>
      </c>
      <c r="N83" t="str">
        <f t="shared" si="8"/>
        <v>Small Business</v>
      </c>
      <c r="O83">
        <f t="shared" si="9"/>
        <v>4405.32</v>
      </c>
      <c r="P83" t="str">
        <f t="shared" si="10"/>
        <v>OK</v>
      </c>
      <c r="Q83" t="str">
        <f t="shared" si="11"/>
        <v>Clean: No issues</v>
      </c>
    </row>
    <row r="84" spans="1:17">
      <c r="A84" t="s">
        <v>111</v>
      </c>
      <c r="B84" s="1">
        <v>45576</v>
      </c>
      <c r="C84" t="s">
        <v>12</v>
      </c>
      <c r="D84" t="s">
        <v>22</v>
      </c>
      <c r="E84" t="s">
        <v>36</v>
      </c>
      <c r="F84">
        <v>7</v>
      </c>
      <c r="G84">
        <v>9.7100000000000009</v>
      </c>
      <c r="H84">
        <v>5</v>
      </c>
      <c r="I84">
        <v>64.569999999999993</v>
      </c>
      <c r="J84">
        <v>14.77</v>
      </c>
      <c r="K84" t="s">
        <v>24</v>
      </c>
      <c r="L84" t="str">
        <f t="shared" si="6"/>
        <v>OK</v>
      </c>
      <c r="M84" t="str">
        <f t="shared" si="7"/>
        <v>OK</v>
      </c>
      <c r="N84" t="str">
        <f t="shared" si="8"/>
        <v>Consumer</v>
      </c>
      <c r="O84">
        <f t="shared" si="9"/>
        <v>64.569999999999993</v>
      </c>
      <c r="P84" t="str">
        <f t="shared" si="10"/>
        <v>OK</v>
      </c>
      <c r="Q84" t="str">
        <f t="shared" si="11"/>
        <v>Clean: No issues</v>
      </c>
    </row>
    <row r="85" spans="1:17">
      <c r="A85" t="s">
        <v>112</v>
      </c>
      <c r="B85" s="1">
        <v>45645</v>
      </c>
      <c r="C85" t="s">
        <v>26</v>
      </c>
      <c r="D85" t="s">
        <v>18</v>
      </c>
      <c r="E85" t="s">
        <v>23</v>
      </c>
      <c r="F85">
        <v>2</v>
      </c>
      <c r="G85">
        <v>122.05</v>
      </c>
      <c r="H85">
        <v>0</v>
      </c>
      <c r="I85">
        <v>244.1</v>
      </c>
      <c r="J85">
        <v>7.1</v>
      </c>
      <c r="K85" t="s">
        <v>24</v>
      </c>
      <c r="L85" t="str">
        <f t="shared" si="6"/>
        <v>OK</v>
      </c>
      <c r="M85" t="str">
        <f t="shared" si="7"/>
        <v>OK</v>
      </c>
      <c r="N85" t="str">
        <f t="shared" si="8"/>
        <v>Small Business</v>
      </c>
      <c r="O85">
        <f t="shared" si="9"/>
        <v>244.1</v>
      </c>
      <c r="P85" t="str">
        <f t="shared" si="10"/>
        <v>OK</v>
      </c>
      <c r="Q85" t="str">
        <f t="shared" si="11"/>
        <v>Clean: No issues</v>
      </c>
    </row>
    <row r="86" spans="1:17">
      <c r="A86" t="s">
        <v>113</v>
      </c>
      <c r="B86" s="1">
        <v>45448</v>
      </c>
      <c r="C86" t="s">
        <v>17</v>
      </c>
      <c r="D86" t="s">
        <v>22</v>
      </c>
      <c r="E86" t="s">
        <v>14</v>
      </c>
      <c r="F86">
        <v>6</v>
      </c>
      <c r="G86">
        <v>468.07</v>
      </c>
      <c r="H86">
        <v>5</v>
      </c>
      <c r="I86">
        <v>2668</v>
      </c>
      <c r="J86">
        <v>24.92</v>
      </c>
      <c r="K86" t="s">
        <v>15</v>
      </c>
      <c r="L86" t="str">
        <f t="shared" si="6"/>
        <v>OK</v>
      </c>
      <c r="M86" t="str">
        <f t="shared" si="7"/>
        <v>OK</v>
      </c>
      <c r="N86" t="str">
        <f t="shared" si="8"/>
        <v>Corporate</v>
      </c>
      <c r="O86">
        <f t="shared" si="9"/>
        <v>2668</v>
      </c>
      <c r="P86" t="str">
        <f t="shared" si="10"/>
        <v>OK</v>
      </c>
      <c r="Q86" t="str">
        <f t="shared" si="11"/>
        <v>Clean: No issues</v>
      </c>
    </row>
    <row r="87" spans="1:17">
      <c r="A87" t="s">
        <v>114</v>
      </c>
      <c r="B87" s="1">
        <v>45461</v>
      </c>
      <c r="C87" t="s">
        <v>26</v>
      </c>
      <c r="D87" t="s">
        <v>18</v>
      </c>
      <c r="E87" t="s">
        <v>14</v>
      </c>
      <c r="F87">
        <v>4</v>
      </c>
      <c r="G87">
        <v>331.43</v>
      </c>
      <c r="H87">
        <v>0</v>
      </c>
      <c r="I87">
        <v>1325.72</v>
      </c>
      <c r="J87">
        <v>18.59</v>
      </c>
      <c r="K87" t="s">
        <v>34</v>
      </c>
      <c r="L87" t="str">
        <f t="shared" si="6"/>
        <v>OK</v>
      </c>
      <c r="M87" t="str">
        <f t="shared" si="7"/>
        <v>OK</v>
      </c>
      <c r="N87" t="str">
        <f t="shared" si="8"/>
        <v>Small Business</v>
      </c>
      <c r="O87">
        <f t="shared" si="9"/>
        <v>1325.72</v>
      </c>
      <c r="P87" t="str">
        <f t="shared" si="10"/>
        <v>OK</v>
      </c>
      <c r="Q87" t="str">
        <f t="shared" si="11"/>
        <v>Clean: No issues</v>
      </c>
    </row>
    <row r="88" spans="1:17">
      <c r="A88" t="s">
        <v>115</v>
      </c>
      <c r="B88" s="1">
        <v>45353</v>
      </c>
      <c r="C88" t="s">
        <v>17</v>
      </c>
      <c r="D88" t="s">
        <v>22</v>
      </c>
      <c r="E88" t="s">
        <v>36</v>
      </c>
      <c r="F88">
        <v>8</v>
      </c>
      <c r="G88">
        <v>15.53</v>
      </c>
      <c r="H88">
        <v>0</v>
      </c>
      <c r="I88">
        <v>124.24</v>
      </c>
      <c r="J88">
        <v>18.670000000000002</v>
      </c>
      <c r="K88" t="s">
        <v>15</v>
      </c>
      <c r="L88" t="str">
        <f t="shared" si="6"/>
        <v>OK</v>
      </c>
      <c r="M88" t="str">
        <f t="shared" si="7"/>
        <v>OK</v>
      </c>
      <c r="N88" t="str">
        <f t="shared" si="8"/>
        <v>Corporate</v>
      </c>
      <c r="O88">
        <f t="shared" si="9"/>
        <v>124.24</v>
      </c>
      <c r="P88" t="str">
        <f t="shared" si="10"/>
        <v>OK</v>
      </c>
      <c r="Q88" t="str">
        <f t="shared" si="11"/>
        <v>Clean: No issues</v>
      </c>
    </row>
    <row r="89" spans="1:17">
      <c r="A89" t="s">
        <v>116</v>
      </c>
      <c r="B89" s="1">
        <v>45597</v>
      </c>
      <c r="C89" t="s">
        <v>26</v>
      </c>
      <c r="D89" t="s">
        <v>13</v>
      </c>
      <c r="E89" t="s">
        <v>36</v>
      </c>
      <c r="F89">
        <v>6</v>
      </c>
      <c r="G89">
        <v>21.29</v>
      </c>
      <c r="H89">
        <v>0</v>
      </c>
      <c r="I89">
        <v>127.74</v>
      </c>
      <c r="J89">
        <v>8.9499999999999993</v>
      </c>
      <c r="K89" t="s">
        <v>15</v>
      </c>
      <c r="L89" t="str">
        <f t="shared" si="6"/>
        <v>OK</v>
      </c>
      <c r="M89" t="str">
        <f t="shared" si="7"/>
        <v>OK</v>
      </c>
      <c r="N89" t="str">
        <f t="shared" si="8"/>
        <v>Small Business</v>
      </c>
      <c r="O89">
        <f t="shared" si="9"/>
        <v>127.74</v>
      </c>
      <c r="P89" t="str">
        <f t="shared" si="10"/>
        <v>OK</v>
      </c>
      <c r="Q89" t="str">
        <f t="shared" si="11"/>
        <v>Clean: No issues</v>
      </c>
    </row>
    <row r="90" spans="1:17">
      <c r="A90" t="s">
        <v>117</v>
      </c>
      <c r="B90" s="1">
        <v>45356</v>
      </c>
      <c r="C90" t="s">
        <v>26</v>
      </c>
      <c r="D90" t="s">
        <v>13</v>
      </c>
      <c r="E90" t="s">
        <v>19</v>
      </c>
      <c r="F90">
        <v>3</v>
      </c>
      <c r="G90">
        <v>299.01</v>
      </c>
      <c r="H90">
        <v>15</v>
      </c>
      <c r="I90">
        <v>762.48</v>
      </c>
      <c r="J90">
        <v>21.97</v>
      </c>
      <c r="K90" t="s">
        <v>29</v>
      </c>
      <c r="L90" t="str">
        <f t="shared" si="6"/>
        <v>OK</v>
      </c>
      <c r="M90" t="str">
        <f t="shared" si="7"/>
        <v>OK</v>
      </c>
      <c r="N90" t="str">
        <f t="shared" si="8"/>
        <v>Small Business</v>
      </c>
      <c r="O90">
        <f t="shared" si="9"/>
        <v>762.48</v>
      </c>
      <c r="P90" t="str">
        <f t="shared" si="10"/>
        <v>OK</v>
      </c>
      <c r="Q90" t="str">
        <f t="shared" si="11"/>
        <v>Clean: No issues</v>
      </c>
    </row>
    <row r="91" spans="1:17">
      <c r="A91" t="s">
        <v>118</v>
      </c>
      <c r="B91" s="1">
        <v>45344</v>
      </c>
      <c r="C91" t="s">
        <v>12</v>
      </c>
      <c r="D91" t="s">
        <v>22</v>
      </c>
      <c r="E91" t="s">
        <v>14</v>
      </c>
      <c r="F91">
        <v>8</v>
      </c>
      <c r="G91">
        <v>464.91</v>
      </c>
      <c r="H91">
        <v>0</v>
      </c>
      <c r="I91">
        <v>3719.28</v>
      </c>
      <c r="J91">
        <v>6.24</v>
      </c>
      <c r="K91" t="s">
        <v>20</v>
      </c>
      <c r="L91" t="str">
        <f t="shared" si="6"/>
        <v>OK</v>
      </c>
      <c r="M91" t="str">
        <f t="shared" si="7"/>
        <v>OK</v>
      </c>
      <c r="N91" t="str">
        <f t="shared" si="8"/>
        <v>Consumer</v>
      </c>
      <c r="O91">
        <f t="shared" si="9"/>
        <v>3719.28</v>
      </c>
      <c r="P91" t="str">
        <f t="shared" si="10"/>
        <v>OK</v>
      </c>
      <c r="Q91" t="str">
        <f t="shared" si="11"/>
        <v>Clean: No issues</v>
      </c>
    </row>
    <row r="92" spans="1:17">
      <c r="A92" t="s">
        <v>119</v>
      </c>
      <c r="B92" s="1">
        <v>45421</v>
      </c>
      <c r="C92" t="s">
        <v>26</v>
      </c>
      <c r="D92" t="s">
        <v>13</v>
      </c>
      <c r="E92" t="s">
        <v>19</v>
      </c>
      <c r="F92">
        <v>2</v>
      </c>
      <c r="G92">
        <v>230.32</v>
      </c>
      <c r="H92">
        <v>10</v>
      </c>
      <c r="I92">
        <v>414.58</v>
      </c>
      <c r="J92">
        <v>16.48</v>
      </c>
      <c r="K92" t="s">
        <v>20</v>
      </c>
      <c r="L92" t="str">
        <f t="shared" si="6"/>
        <v>OK</v>
      </c>
      <c r="M92" t="str">
        <f t="shared" si="7"/>
        <v>OK</v>
      </c>
      <c r="N92" t="str">
        <f t="shared" si="8"/>
        <v>Small Business</v>
      </c>
      <c r="O92">
        <f t="shared" si="9"/>
        <v>414.58</v>
      </c>
      <c r="P92" t="str">
        <f t="shared" si="10"/>
        <v>OK</v>
      </c>
      <c r="Q92" t="str">
        <f t="shared" si="11"/>
        <v>Clean: No issues</v>
      </c>
    </row>
    <row r="93" spans="1:17">
      <c r="A93" t="s">
        <v>120</v>
      </c>
      <c r="B93" s="1">
        <v>45369</v>
      </c>
      <c r="C93" t="s">
        <v>12</v>
      </c>
      <c r="D93" t="s">
        <v>22</v>
      </c>
      <c r="E93" t="s">
        <v>14</v>
      </c>
      <c r="F93">
        <v>4</v>
      </c>
      <c r="G93">
        <v>149.85</v>
      </c>
      <c r="H93">
        <v>0</v>
      </c>
      <c r="I93">
        <v>599.4</v>
      </c>
      <c r="J93">
        <v>14.84</v>
      </c>
      <c r="K93" t="s">
        <v>29</v>
      </c>
      <c r="L93" t="str">
        <f t="shared" si="6"/>
        <v>OK</v>
      </c>
      <c r="M93" t="str">
        <f t="shared" si="7"/>
        <v>OK</v>
      </c>
      <c r="N93" t="str">
        <f t="shared" si="8"/>
        <v>Consumer</v>
      </c>
      <c r="O93">
        <f t="shared" si="9"/>
        <v>599.4</v>
      </c>
      <c r="P93" t="str">
        <f t="shared" si="10"/>
        <v>OK</v>
      </c>
      <c r="Q93" t="str">
        <f t="shared" si="11"/>
        <v>Clean: No issues</v>
      </c>
    </row>
    <row r="94" spans="1:17">
      <c r="A94" t="s">
        <v>121</v>
      </c>
      <c r="B94" s="1">
        <v>45602</v>
      </c>
      <c r="C94" t="s">
        <v>17</v>
      </c>
      <c r="D94" t="s">
        <v>22</v>
      </c>
      <c r="E94" t="s">
        <v>36</v>
      </c>
      <c r="F94">
        <v>7</v>
      </c>
      <c r="G94">
        <v>47.66</v>
      </c>
      <c r="H94">
        <v>5</v>
      </c>
      <c r="I94">
        <v>316.94</v>
      </c>
      <c r="J94">
        <v>22.9</v>
      </c>
      <c r="K94" t="s">
        <v>34</v>
      </c>
      <c r="L94" t="str">
        <f t="shared" si="6"/>
        <v>OK</v>
      </c>
      <c r="M94" t="str">
        <f t="shared" si="7"/>
        <v>OK</v>
      </c>
      <c r="N94" t="str">
        <f t="shared" si="8"/>
        <v>Corporate</v>
      </c>
      <c r="O94">
        <f t="shared" si="9"/>
        <v>316.94</v>
      </c>
      <c r="P94" t="str">
        <f t="shared" si="10"/>
        <v>OK</v>
      </c>
      <c r="Q94" t="str">
        <f t="shared" si="11"/>
        <v>Clean: No issues</v>
      </c>
    </row>
    <row r="95" spans="1:17">
      <c r="A95" t="s">
        <v>122</v>
      </c>
      <c r="B95" s="1">
        <v>45593</v>
      </c>
      <c r="C95" t="s">
        <v>26</v>
      </c>
      <c r="D95" t="s">
        <v>27</v>
      </c>
      <c r="E95" t="s">
        <v>31</v>
      </c>
      <c r="F95">
        <v>2</v>
      </c>
      <c r="G95">
        <v>193.89</v>
      </c>
      <c r="H95">
        <v>20</v>
      </c>
      <c r="I95">
        <v>310.22000000000003</v>
      </c>
      <c r="J95">
        <v>6.78</v>
      </c>
      <c r="K95" t="s">
        <v>24</v>
      </c>
      <c r="L95" t="str">
        <f t="shared" si="6"/>
        <v>OK</v>
      </c>
      <c r="M95" t="str">
        <f t="shared" si="7"/>
        <v>OK</v>
      </c>
      <c r="N95" t="str">
        <f t="shared" si="8"/>
        <v>Small Business</v>
      </c>
      <c r="O95">
        <f t="shared" si="9"/>
        <v>310.22000000000003</v>
      </c>
      <c r="P95" t="str">
        <f t="shared" si="10"/>
        <v>OK</v>
      </c>
      <c r="Q95" t="str">
        <f t="shared" si="11"/>
        <v>Clean: No issues</v>
      </c>
    </row>
    <row r="96" spans="1:17">
      <c r="A96" t="s">
        <v>123</v>
      </c>
      <c r="B96" s="1">
        <v>45427</v>
      </c>
      <c r="C96" t="s">
        <v>17</v>
      </c>
      <c r="D96" t="s">
        <v>13</v>
      </c>
      <c r="E96" t="s">
        <v>36</v>
      </c>
      <c r="F96">
        <v>2</v>
      </c>
      <c r="G96">
        <v>18.190000000000001</v>
      </c>
      <c r="H96">
        <v>0</v>
      </c>
      <c r="I96">
        <v>36.380000000000003</v>
      </c>
      <c r="J96">
        <v>2.06</v>
      </c>
      <c r="K96" t="s">
        <v>29</v>
      </c>
      <c r="L96" t="str">
        <f t="shared" si="6"/>
        <v>OK</v>
      </c>
      <c r="M96" t="str">
        <f t="shared" si="7"/>
        <v>OK</v>
      </c>
      <c r="N96" t="str">
        <f t="shared" si="8"/>
        <v>Corporate</v>
      </c>
      <c r="O96">
        <f t="shared" si="9"/>
        <v>36.380000000000003</v>
      </c>
      <c r="P96" t="str">
        <f t="shared" si="10"/>
        <v>OK</v>
      </c>
      <c r="Q96" t="str">
        <f t="shared" si="11"/>
        <v>Clean: No issues</v>
      </c>
    </row>
    <row r="97" spans="1:17">
      <c r="A97" t="s">
        <v>124</v>
      </c>
      <c r="B97" s="1">
        <v>45644</v>
      </c>
      <c r="C97" t="s">
        <v>17</v>
      </c>
      <c r="D97" t="s">
        <v>18</v>
      </c>
      <c r="E97" t="s">
        <v>14</v>
      </c>
      <c r="F97">
        <v>5</v>
      </c>
      <c r="G97">
        <v>106.76</v>
      </c>
      <c r="H97">
        <v>15</v>
      </c>
      <c r="I97">
        <v>453.73</v>
      </c>
      <c r="J97">
        <v>8.5</v>
      </c>
      <c r="K97" t="s">
        <v>29</v>
      </c>
      <c r="L97" t="str">
        <f t="shared" si="6"/>
        <v>OK</v>
      </c>
      <c r="M97" t="str">
        <f t="shared" si="7"/>
        <v>OK</v>
      </c>
      <c r="N97" t="str">
        <f t="shared" si="8"/>
        <v>Corporate</v>
      </c>
      <c r="O97">
        <f t="shared" si="9"/>
        <v>453.73</v>
      </c>
      <c r="P97" t="str">
        <f t="shared" si="10"/>
        <v>OK</v>
      </c>
      <c r="Q97" t="str">
        <f t="shared" si="11"/>
        <v>Clean: No issues</v>
      </c>
    </row>
    <row r="98" spans="1:17">
      <c r="A98" t="s">
        <v>125</v>
      </c>
      <c r="B98" s="1">
        <v>45328</v>
      </c>
      <c r="C98" t="s">
        <v>17</v>
      </c>
      <c r="D98" t="s">
        <v>33</v>
      </c>
      <c r="E98" t="s">
        <v>14</v>
      </c>
      <c r="F98">
        <v>4</v>
      </c>
      <c r="G98">
        <v>726.02</v>
      </c>
      <c r="H98">
        <v>5</v>
      </c>
      <c r="I98">
        <v>2758.88</v>
      </c>
      <c r="J98">
        <v>4.6399999999999997</v>
      </c>
      <c r="K98" t="s">
        <v>24</v>
      </c>
      <c r="L98" t="str">
        <f t="shared" si="6"/>
        <v>OK</v>
      </c>
      <c r="M98" t="str">
        <f t="shared" si="7"/>
        <v>OK</v>
      </c>
      <c r="N98" t="str">
        <f t="shared" si="8"/>
        <v>Corporate</v>
      </c>
      <c r="O98">
        <f t="shared" si="9"/>
        <v>2758.88</v>
      </c>
      <c r="P98" t="str">
        <f t="shared" si="10"/>
        <v>OK</v>
      </c>
      <c r="Q98" t="str">
        <f t="shared" si="11"/>
        <v>Clean: No issues</v>
      </c>
    </row>
    <row r="99" spans="1:17">
      <c r="A99" t="s">
        <v>126</v>
      </c>
      <c r="B99" s="1">
        <v>45623</v>
      </c>
      <c r="C99" t="s">
        <v>12</v>
      </c>
      <c r="D99" t="s">
        <v>27</v>
      </c>
      <c r="E99" t="s">
        <v>36</v>
      </c>
      <c r="F99">
        <v>3</v>
      </c>
      <c r="G99">
        <v>8.93</v>
      </c>
      <c r="H99">
        <v>20</v>
      </c>
      <c r="I99">
        <v>21.43</v>
      </c>
      <c r="J99">
        <v>9.08</v>
      </c>
      <c r="K99" t="s">
        <v>15</v>
      </c>
      <c r="L99" t="str">
        <f t="shared" si="6"/>
        <v>OK</v>
      </c>
      <c r="M99" t="str">
        <f t="shared" si="7"/>
        <v>OK</v>
      </c>
      <c r="N99" t="str">
        <f t="shared" si="8"/>
        <v>Consumer</v>
      </c>
      <c r="O99">
        <f t="shared" si="9"/>
        <v>21.43</v>
      </c>
      <c r="P99" t="str">
        <f t="shared" si="10"/>
        <v>OK</v>
      </c>
      <c r="Q99" t="str">
        <f t="shared" si="11"/>
        <v>Clean: No issues</v>
      </c>
    </row>
    <row r="100" spans="1:17">
      <c r="A100" t="s">
        <v>127</v>
      </c>
      <c r="B100" s="1">
        <v>45439</v>
      </c>
      <c r="C100" t="s">
        <v>26</v>
      </c>
      <c r="D100" t="s">
        <v>13</v>
      </c>
      <c r="E100" t="s">
        <v>23</v>
      </c>
      <c r="F100">
        <v>7</v>
      </c>
      <c r="G100">
        <v>107.97</v>
      </c>
      <c r="H100">
        <v>0</v>
      </c>
      <c r="I100">
        <v>755.79</v>
      </c>
      <c r="J100">
        <v>13.51</v>
      </c>
      <c r="K100" t="s">
        <v>29</v>
      </c>
      <c r="L100" t="str">
        <f t="shared" si="6"/>
        <v>OK</v>
      </c>
      <c r="M100" t="str">
        <f t="shared" si="7"/>
        <v>OK</v>
      </c>
      <c r="N100" t="str">
        <f t="shared" si="8"/>
        <v>Small Business</v>
      </c>
      <c r="O100">
        <f t="shared" si="9"/>
        <v>755.79</v>
      </c>
      <c r="P100" t="str">
        <f t="shared" si="10"/>
        <v>OK</v>
      </c>
      <c r="Q100" t="str">
        <f t="shared" si="11"/>
        <v>Clean: No issues</v>
      </c>
    </row>
    <row r="101" spans="1:17">
      <c r="A101" t="s">
        <v>128</v>
      </c>
      <c r="B101" s="1">
        <v>45516</v>
      </c>
      <c r="C101" t="s">
        <v>12</v>
      </c>
      <c r="D101" t="s">
        <v>22</v>
      </c>
      <c r="E101" t="s">
        <v>19</v>
      </c>
      <c r="F101">
        <v>6</v>
      </c>
      <c r="G101">
        <v>450.24</v>
      </c>
      <c r="H101">
        <v>10</v>
      </c>
      <c r="I101">
        <v>2431.3000000000002</v>
      </c>
      <c r="J101">
        <v>7.76</v>
      </c>
      <c r="K101" t="s">
        <v>20</v>
      </c>
      <c r="L101" t="str">
        <f t="shared" si="6"/>
        <v>OK</v>
      </c>
      <c r="M101" t="str">
        <f t="shared" si="7"/>
        <v>OK</v>
      </c>
      <c r="N101" t="str">
        <f t="shared" si="8"/>
        <v>Consumer</v>
      </c>
      <c r="O101">
        <f t="shared" si="9"/>
        <v>2431.3000000000002</v>
      </c>
      <c r="P101" t="str">
        <f t="shared" si="10"/>
        <v>OK</v>
      </c>
      <c r="Q101" t="str">
        <f t="shared" si="11"/>
        <v>Clean: No issues</v>
      </c>
    </row>
    <row r="102" spans="1:17">
      <c r="A102" t="s">
        <v>129</v>
      </c>
      <c r="B102" s="1">
        <v>45409</v>
      </c>
      <c r="C102" t="s">
        <v>17</v>
      </c>
      <c r="D102" t="s">
        <v>22</v>
      </c>
      <c r="E102" t="s">
        <v>31</v>
      </c>
      <c r="F102">
        <v>5</v>
      </c>
      <c r="G102">
        <v>286.22000000000003</v>
      </c>
      <c r="H102">
        <v>10</v>
      </c>
      <c r="I102">
        <v>1287.99</v>
      </c>
      <c r="J102">
        <v>2.93</v>
      </c>
      <c r="K102" t="s">
        <v>24</v>
      </c>
      <c r="L102" t="str">
        <f t="shared" si="6"/>
        <v>OK</v>
      </c>
      <c r="M102" t="str">
        <f t="shared" si="7"/>
        <v>OK</v>
      </c>
      <c r="N102" t="str">
        <f t="shared" si="8"/>
        <v>Corporate</v>
      </c>
      <c r="O102">
        <f t="shared" si="9"/>
        <v>1287.99</v>
      </c>
      <c r="P102" t="str">
        <f t="shared" si="10"/>
        <v>OK</v>
      </c>
      <c r="Q102" t="str">
        <f t="shared" si="11"/>
        <v>Clean: No issues</v>
      </c>
    </row>
    <row r="103" spans="1:17">
      <c r="A103" t="s">
        <v>130</v>
      </c>
      <c r="B103" s="1">
        <v>45532</v>
      </c>
      <c r="C103" t="s">
        <v>17</v>
      </c>
      <c r="D103" t="s">
        <v>18</v>
      </c>
      <c r="E103" t="s">
        <v>14</v>
      </c>
      <c r="F103">
        <v>7</v>
      </c>
      <c r="G103">
        <v>228.82</v>
      </c>
      <c r="H103">
        <v>15</v>
      </c>
      <c r="I103">
        <v>1361.48</v>
      </c>
      <c r="J103">
        <v>20.73</v>
      </c>
      <c r="K103" t="s">
        <v>20</v>
      </c>
      <c r="L103" t="str">
        <f t="shared" si="6"/>
        <v>OK</v>
      </c>
      <c r="M103" t="str">
        <f t="shared" si="7"/>
        <v>OK</v>
      </c>
      <c r="N103" t="str">
        <f t="shared" si="8"/>
        <v>Corporate</v>
      </c>
      <c r="O103">
        <f t="shared" si="9"/>
        <v>1361.48</v>
      </c>
      <c r="P103" t="str">
        <f t="shared" si="10"/>
        <v>OK</v>
      </c>
      <c r="Q103" t="str">
        <f t="shared" si="11"/>
        <v>Clean: No issues</v>
      </c>
    </row>
    <row r="104" spans="1:17">
      <c r="A104" t="s">
        <v>131</v>
      </c>
      <c r="B104" s="1">
        <v>45532</v>
      </c>
      <c r="C104" t="s">
        <v>26</v>
      </c>
      <c r="D104" t="s">
        <v>18</v>
      </c>
      <c r="E104" t="s">
        <v>14</v>
      </c>
      <c r="F104">
        <v>2</v>
      </c>
      <c r="G104">
        <v>343.27</v>
      </c>
      <c r="H104">
        <v>20</v>
      </c>
      <c r="I104">
        <v>549.23</v>
      </c>
      <c r="J104">
        <v>5.7</v>
      </c>
      <c r="K104" t="s">
        <v>29</v>
      </c>
      <c r="L104" t="str">
        <f t="shared" si="6"/>
        <v>OK</v>
      </c>
      <c r="M104" t="str">
        <f t="shared" si="7"/>
        <v>OK</v>
      </c>
      <c r="N104" t="str">
        <f t="shared" si="8"/>
        <v>Small Business</v>
      </c>
      <c r="O104">
        <f t="shared" si="9"/>
        <v>549.23</v>
      </c>
      <c r="P104" t="str">
        <f t="shared" si="10"/>
        <v>OK</v>
      </c>
      <c r="Q104" t="str">
        <f t="shared" si="11"/>
        <v>Clean: No issues</v>
      </c>
    </row>
    <row r="105" spans="1:17">
      <c r="A105" t="s">
        <v>132</v>
      </c>
      <c r="B105" s="1">
        <v>45647</v>
      </c>
      <c r="C105" t="s">
        <v>26</v>
      </c>
      <c r="D105" t="s">
        <v>27</v>
      </c>
      <c r="E105" t="s">
        <v>23</v>
      </c>
      <c r="F105">
        <v>1</v>
      </c>
      <c r="G105">
        <v>124.83</v>
      </c>
      <c r="H105">
        <v>5</v>
      </c>
      <c r="I105">
        <v>118.59</v>
      </c>
      <c r="J105">
        <v>4.03</v>
      </c>
      <c r="K105" t="s">
        <v>34</v>
      </c>
      <c r="L105" t="str">
        <f t="shared" si="6"/>
        <v>OK</v>
      </c>
      <c r="M105" t="str">
        <f t="shared" si="7"/>
        <v>OK</v>
      </c>
      <c r="N105" t="str">
        <f t="shared" si="8"/>
        <v>Small Business</v>
      </c>
      <c r="O105">
        <f t="shared" si="9"/>
        <v>118.59</v>
      </c>
      <c r="P105" t="str">
        <f t="shared" si="10"/>
        <v>OK</v>
      </c>
      <c r="Q105" t="str">
        <f t="shared" si="11"/>
        <v>Clean: No issues</v>
      </c>
    </row>
    <row r="106" spans="1:17">
      <c r="A106" t="s">
        <v>133</v>
      </c>
      <c r="B106" s="1">
        <v>45457</v>
      </c>
      <c r="C106" t="s">
        <v>12</v>
      </c>
      <c r="D106" t="s">
        <v>18</v>
      </c>
      <c r="E106" t="s">
        <v>31</v>
      </c>
      <c r="F106">
        <v>1</v>
      </c>
      <c r="G106">
        <v>250.98</v>
      </c>
      <c r="H106">
        <v>15</v>
      </c>
      <c r="I106">
        <v>213.33</v>
      </c>
      <c r="J106">
        <v>22</v>
      </c>
      <c r="K106" t="s">
        <v>29</v>
      </c>
      <c r="L106" t="str">
        <f t="shared" si="6"/>
        <v>OK</v>
      </c>
      <c r="M106" t="str">
        <f t="shared" si="7"/>
        <v>OK</v>
      </c>
      <c r="N106" t="str">
        <f t="shared" si="8"/>
        <v>Consumer</v>
      </c>
      <c r="O106">
        <f t="shared" si="9"/>
        <v>213.33</v>
      </c>
      <c r="P106" t="str">
        <f t="shared" si="10"/>
        <v>OK</v>
      </c>
      <c r="Q106" t="str">
        <f t="shared" si="11"/>
        <v>Clean: No issues</v>
      </c>
    </row>
    <row r="107" spans="1:17">
      <c r="A107" t="s">
        <v>134</v>
      </c>
      <c r="B107" s="1">
        <v>45503</v>
      </c>
      <c r="C107" t="s">
        <v>12</v>
      </c>
      <c r="D107" t="s">
        <v>33</v>
      </c>
      <c r="E107" t="s">
        <v>31</v>
      </c>
      <c r="F107">
        <v>8</v>
      </c>
      <c r="G107">
        <v>121.3</v>
      </c>
      <c r="H107">
        <v>15</v>
      </c>
      <c r="I107">
        <v>824.84</v>
      </c>
      <c r="J107">
        <v>12.17</v>
      </c>
      <c r="K107" t="s">
        <v>20</v>
      </c>
      <c r="L107" t="str">
        <f t="shared" si="6"/>
        <v>OK</v>
      </c>
      <c r="M107" t="str">
        <f t="shared" si="7"/>
        <v>OK</v>
      </c>
      <c r="N107" t="str">
        <f t="shared" si="8"/>
        <v>Consumer</v>
      </c>
      <c r="O107">
        <f t="shared" si="9"/>
        <v>824.84</v>
      </c>
      <c r="P107" t="str">
        <f t="shared" si="10"/>
        <v>OK</v>
      </c>
      <c r="Q107" t="str">
        <f t="shared" si="11"/>
        <v>Clean: No issues</v>
      </c>
    </row>
    <row r="108" spans="1:17">
      <c r="A108" t="s">
        <v>135</v>
      </c>
      <c r="B108" s="1">
        <v>45396</v>
      </c>
      <c r="C108" t="s">
        <v>26</v>
      </c>
      <c r="D108" t="s">
        <v>22</v>
      </c>
      <c r="E108" t="s">
        <v>36</v>
      </c>
      <c r="F108">
        <v>8</v>
      </c>
      <c r="G108">
        <v>56.02</v>
      </c>
      <c r="H108">
        <v>15</v>
      </c>
      <c r="I108">
        <v>380.94</v>
      </c>
      <c r="J108">
        <v>13.15</v>
      </c>
      <c r="K108" t="s">
        <v>20</v>
      </c>
      <c r="L108" t="str">
        <f t="shared" si="6"/>
        <v>OK</v>
      </c>
      <c r="M108" t="str">
        <f t="shared" si="7"/>
        <v>OK</v>
      </c>
      <c r="N108" t="str">
        <f t="shared" si="8"/>
        <v>Small Business</v>
      </c>
      <c r="O108">
        <f t="shared" si="9"/>
        <v>380.94</v>
      </c>
      <c r="P108" t="str">
        <f t="shared" si="10"/>
        <v>OK</v>
      </c>
      <c r="Q108" t="str">
        <f t="shared" si="11"/>
        <v>Clean: No issues</v>
      </c>
    </row>
    <row r="109" spans="1:17">
      <c r="A109" t="s">
        <v>136</v>
      </c>
      <c r="B109" s="1">
        <v>45614</v>
      </c>
      <c r="C109" t="s">
        <v>17</v>
      </c>
      <c r="D109" t="s">
        <v>33</v>
      </c>
      <c r="E109" t="s">
        <v>36</v>
      </c>
      <c r="F109">
        <v>1</v>
      </c>
      <c r="G109">
        <v>22.09</v>
      </c>
      <c r="H109">
        <v>10</v>
      </c>
      <c r="I109">
        <v>19.88</v>
      </c>
      <c r="J109">
        <v>11.38</v>
      </c>
      <c r="K109" t="s">
        <v>24</v>
      </c>
      <c r="L109" t="str">
        <f t="shared" si="6"/>
        <v>OK</v>
      </c>
      <c r="M109" t="str">
        <f t="shared" si="7"/>
        <v>OK</v>
      </c>
      <c r="N109" t="str">
        <f t="shared" si="8"/>
        <v>Corporate</v>
      </c>
      <c r="O109">
        <f t="shared" si="9"/>
        <v>19.88</v>
      </c>
      <c r="P109" t="str">
        <f t="shared" si="10"/>
        <v>OK</v>
      </c>
      <c r="Q109" t="str">
        <f t="shared" si="11"/>
        <v>Clean: No issues</v>
      </c>
    </row>
    <row r="110" spans="1:17">
      <c r="A110" t="s">
        <v>137</v>
      </c>
      <c r="B110" s="1">
        <v>45350</v>
      </c>
      <c r="C110" t="s">
        <v>26</v>
      </c>
      <c r="D110" t="s">
        <v>13</v>
      </c>
      <c r="E110" t="s">
        <v>36</v>
      </c>
      <c r="F110">
        <v>5</v>
      </c>
      <c r="G110">
        <v>32.409999999999997</v>
      </c>
      <c r="H110">
        <v>10</v>
      </c>
      <c r="I110">
        <v>145.85</v>
      </c>
      <c r="J110">
        <v>18.22</v>
      </c>
      <c r="K110" t="s">
        <v>29</v>
      </c>
      <c r="L110" t="str">
        <f t="shared" si="6"/>
        <v>OK</v>
      </c>
      <c r="M110" t="str">
        <f t="shared" si="7"/>
        <v>OK</v>
      </c>
      <c r="N110" t="str">
        <f t="shared" si="8"/>
        <v>Small Business</v>
      </c>
      <c r="O110">
        <f t="shared" si="9"/>
        <v>145.85</v>
      </c>
      <c r="P110" t="str">
        <f t="shared" si="10"/>
        <v>OK</v>
      </c>
      <c r="Q110" t="str">
        <f t="shared" si="11"/>
        <v>Clean: No issues</v>
      </c>
    </row>
    <row r="111" spans="1:17">
      <c r="A111" t="s">
        <v>138</v>
      </c>
      <c r="B111" s="1">
        <v>45539</v>
      </c>
      <c r="C111" t="s">
        <v>26</v>
      </c>
      <c r="D111" t="s">
        <v>33</v>
      </c>
      <c r="E111" t="s">
        <v>23</v>
      </c>
      <c r="F111">
        <v>7</v>
      </c>
      <c r="G111">
        <v>89.42</v>
      </c>
      <c r="H111">
        <v>0</v>
      </c>
      <c r="I111">
        <v>625.94000000000005</v>
      </c>
      <c r="J111">
        <v>23.2</v>
      </c>
      <c r="K111" t="s">
        <v>15</v>
      </c>
      <c r="L111" t="str">
        <f t="shared" si="6"/>
        <v>OK</v>
      </c>
      <c r="M111" t="str">
        <f t="shared" si="7"/>
        <v>OK</v>
      </c>
      <c r="N111" t="str">
        <f t="shared" si="8"/>
        <v>Small Business</v>
      </c>
      <c r="O111">
        <f t="shared" si="9"/>
        <v>625.94000000000005</v>
      </c>
      <c r="P111" t="str">
        <f t="shared" si="10"/>
        <v>OK</v>
      </c>
      <c r="Q111" t="str">
        <f t="shared" si="11"/>
        <v>Clean: No issues</v>
      </c>
    </row>
    <row r="112" spans="1:17">
      <c r="A112" t="s">
        <v>139</v>
      </c>
      <c r="B112" s="1">
        <v>45361</v>
      </c>
      <c r="C112" t="s">
        <v>12</v>
      </c>
      <c r="D112" t="s">
        <v>27</v>
      </c>
      <c r="E112" t="s">
        <v>23</v>
      </c>
      <c r="F112">
        <v>5</v>
      </c>
      <c r="G112">
        <v>60.88</v>
      </c>
      <c r="H112">
        <v>20</v>
      </c>
      <c r="I112">
        <v>243.52</v>
      </c>
      <c r="J112">
        <v>2.06</v>
      </c>
      <c r="K112" t="s">
        <v>34</v>
      </c>
      <c r="L112" t="str">
        <f t="shared" si="6"/>
        <v>OK</v>
      </c>
      <c r="M112" t="str">
        <f t="shared" si="7"/>
        <v>OK</v>
      </c>
      <c r="N112" t="str">
        <f t="shared" si="8"/>
        <v>Consumer</v>
      </c>
      <c r="O112">
        <f t="shared" si="9"/>
        <v>243.52</v>
      </c>
      <c r="P112" t="str">
        <f t="shared" si="10"/>
        <v>OK</v>
      </c>
      <c r="Q112" t="str">
        <f t="shared" si="11"/>
        <v>Clean: No issues</v>
      </c>
    </row>
    <row r="113" spans="1:17">
      <c r="A113" t="s">
        <v>140</v>
      </c>
      <c r="B113" s="1">
        <v>45592</v>
      </c>
      <c r="C113" t="s">
        <v>17</v>
      </c>
      <c r="D113" t="s">
        <v>18</v>
      </c>
      <c r="E113" t="s">
        <v>36</v>
      </c>
      <c r="F113">
        <v>8</v>
      </c>
      <c r="G113">
        <v>29.56</v>
      </c>
      <c r="H113">
        <v>0</v>
      </c>
      <c r="I113">
        <v>236.48</v>
      </c>
      <c r="J113">
        <v>9.65</v>
      </c>
      <c r="K113" t="s">
        <v>15</v>
      </c>
      <c r="L113" t="str">
        <f t="shared" si="6"/>
        <v>OK</v>
      </c>
      <c r="M113" t="str">
        <f t="shared" si="7"/>
        <v>OK</v>
      </c>
      <c r="N113" t="str">
        <f t="shared" si="8"/>
        <v>Corporate</v>
      </c>
      <c r="O113">
        <f t="shared" si="9"/>
        <v>236.48</v>
      </c>
      <c r="P113" t="str">
        <f t="shared" si="10"/>
        <v>OK</v>
      </c>
      <c r="Q113" t="str">
        <f t="shared" si="11"/>
        <v>Clean: No issues</v>
      </c>
    </row>
    <row r="114" spans="1:17">
      <c r="A114" t="s">
        <v>141</v>
      </c>
      <c r="B114" s="1">
        <v>45485</v>
      </c>
      <c r="C114" t="s">
        <v>26</v>
      </c>
      <c r="D114" t="s">
        <v>27</v>
      </c>
      <c r="E114" t="s">
        <v>36</v>
      </c>
      <c r="F114">
        <v>4</v>
      </c>
      <c r="G114">
        <v>58.94</v>
      </c>
      <c r="H114">
        <v>10</v>
      </c>
      <c r="I114">
        <v>212.18</v>
      </c>
      <c r="J114">
        <v>10.81</v>
      </c>
      <c r="K114" t="s">
        <v>29</v>
      </c>
      <c r="L114" t="str">
        <f t="shared" si="6"/>
        <v>OK</v>
      </c>
      <c r="M114" t="str">
        <f t="shared" si="7"/>
        <v>OK</v>
      </c>
      <c r="N114" t="str">
        <f t="shared" si="8"/>
        <v>Small Business</v>
      </c>
      <c r="O114">
        <f t="shared" si="9"/>
        <v>212.18</v>
      </c>
      <c r="P114" t="str">
        <f t="shared" si="10"/>
        <v>OK</v>
      </c>
      <c r="Q114" t="str">
        <f t="shared" si="11"/>
        <v>Clean: No issues</v>
      </c>
    </row>
    <row r="115" spans="1:17">
      <c r="A115" t="s">
        <v>142</v>
      </c>
      <c r="B115" s="1">
        <v>45314</v>
      </c>
      <c r="C115" t="s">
        <v>26</v>
      </c>
      <c r="D115" t="s">
        <v>18</v>
      </c>
      <c r="E115" t="s">
        <v>23</v>
      </c>
      <c r="F115">
        <v>3</v>
      </c>
      <c r="G115">
        <v>67.12</v>
      </c>
      <c r="H115">
        <v>5</v>
      </c>
      <c r="I115">
        <v>191.29</v>
      </c>
      <c r="J115">
        <v>24.19</v>
      </c>
      <c r="K115" t="s">
        <v>24</v>
      </c>
      <c r="L115" t="str">
        <f t="shared" si="6"/>
        <v>OK</v>
      </c>
      <c r="M115" t="str">
        <f t="shared" si="7"/>
        <v>OK</v>
      </c>
      <c r="N115" t="str">
        <f t="shared" si="8"/>
        <v>Small Business</v>
      </c>
      <c r="O115">
        <f t="shared" si="9"/>
        <v>191.29</v>
      </c>
      <c r="P115" t="str">
        <f t="shared" si="10"/>
        <v>OK</v>
      </c>
      <c r="Q115" t="str">
        <f t="shared" si="11"/>
        <v>Clean: No issues</v>
      </c>
    </row>
    <row r="116" spans="1:17">
      <c r="A116" t="s">
        <v>143</v>
      </c>
      <c r="B116" s="1">
        <v>45549</v>
      </c>
      <c r="C116" t="s">
        <v>17</v>
      </c>
      <c r="D116" t="s">
        <v>27</v>
      </c>
      <c r="E116" t="s">
        <v>19</v>
      </c>
      <c r="F116">
        <v>8</v>
      </c>
      <c r="G116">
        <v>443.39</v>
      </c>
      <c r="H116">
        <v>0</v>
      </c>
      <c r="I116">
        <v>3547.12</v>
      </c>
      <c r="J116">
        <v>14.1</v>
      </c>
      <c r="K116" t="s">
        <v>29</v>
      </c>
      <c r="L116" t="str">
        <f t="shared" si="6"/>
        <v>OK</v>
      </c>
      <c r="M116" t="str">
        <f t="shared" si="7"/>
        <v>OK</v>
      </c>
      <c r="N116" t="str">
        <f t="shared" si="8"/>
        <v>Corporate</v>
      </c>
      <c r="O116">
        <f t="shared" si="9"/>
        <v>3547.12</v>
      </c>
      <c r="P116" t="str">
        <f t="shared" si="10"/>
        <v>OK</v>
      </c>
      <c r="Q116" t="str">
        <f t="shared" si="11"/>
        <v>Clean: No issues</v>
      </c>
    </row>
    <row r="117" spans="1:17">
      <c r="A117" t="s">
        <v>144</v>
      </c>
      <c r="B117" s="1">
        <v>45299</v>
      </c>
      <c r="C117" t="s">
        <v>17</v>
      </c>
      <c r="D117" t="s">
        <v>33</v>
      </c>
      <c r="E117" t="s">
        <v>23</v>
      </c>
      <c r="F117">
        <v>3</v>
      </c>
      <c r="G117">
        <v>132.58000000000001</v>
      </c>
      <c r="H117">
        <v>0</v>
      </c>
      <c r="I117">
        <v>397.74</v>
      </c>
      <c r="J117">
        <v>12.8</v>
      </c>
      <c r="K117" t="s">
        <v>34</v>
      </c>
      <c r="L117" t="str">
        <f t="shared" si="6"/>
        <v>OK</v>
      </c>
      <c r="M117" t="str">
        <f t="shared" si="7"/>
        <v>OK</v>
      </c>
      <c r="N117" t="str">
        <f t="shared" si="8"/>
        <v>Corporate</v>
      </c>
      <c r="O117">
        <f t="shared" si="9"/>
        <v>397.74</v>
      </c>
      <c r="P117" t="str">
        <f t="shared" si="10"/>
        <v>OK</v>
      </c>
      <c r="Q117" t="str">
        <f t="shared" si="11"/>
        <v>Clean: No issues</v>
      </c>
    </row>
    <row r="118" spans="1:17">
      <c r="A118" t="s">
        <v>145</v>
      </c>
      <c r="B118" s="1">
        <v>45465</v>
      </c>
      <c r="C118" t="s">
        <v>17</v>
      </c>
      <c r="D118" t="s">
        <v>18</v>
      </c>
      <c r="E118" t="s">
        <v>19</v>
      </c>
      <c r="F118">
        <v>7</v>
      </c>
      <c r="G118">
        <v>433.29</v>
      </c>
      <c r="H118">
        <v>0</v>
      </c>
      <c r="I118">
        <v>3033.03</v>
      </c>
      <c r="J118">
        <v>16.420000000000002</v>
      </c>
      <c r="K118" t="s">
        <v>29</v>
      </c>
      <c r="L118" t="str">
        <f t="shared" si="6"/>
        <v>OK</v>
      </c>
      <c r="M118" t="str">
        <f t="shared" si="7"/>
        <v>OK</v>
      </c>
      <c r="N118" t="str">
        <f t="shared" si="8"/>
        <v>Corporate</v>
      </c>
      <c r="O118">
        <f t="shared" si="9"/>
        <v>3033.03</v>
      </c>
      <c r="P118" t="str">
        <f t="shared" si="10"/>
        <v>OK</v>
      </c>
      <c r="Q118" t="str">
        <f t="shared" si="11"/>
        <v>Clean: No issues</v>
      </c>
    </row>
    <row r="119" spans="1:17">
      <c r="A119" t="s">
        <v>146</v>
      </c>
      <c r="B119" s="1">
        <v>45569</v>
      </c>
      <c r="C119" t="s">
        <v>12</v>
      </c>
      <c r="D119" t="s">
        <v>22</v>
      </c>
      <c r="E119" t="s">
        <v>19</v>
      </c>
      <c r="F119">
        <v>5</v>
      </c>
      <c r="G119">
        <v>155.65</v>
      </c>
      <c r="H119">
        <v>0</v>
      </c>
      <c r="I119">
        <v>778.25</v>
      </c>
      <c r="J119">
        <v>19.18</v>
      </c>
      <c r="K119" t="s">
        <v>29</v>
      </c>
      <c r="L119" t="str">
        <f t="shared" si="6"/>
        <v>OK</v>
      </c>
      <c r="M119" t="str">
        <f t="shared" si="7"/>
        <v>OK</v>
      </c>
      <c r="N119" t="str">
        <f t="shared" si="8"/>
        <v>Consumer</v>
      </c>
      <c r="O119">
        <f t="shared" si="9"/>
        <v>778.25</v>
      </c>
      <c r="P119" t="str">
        <f t="shared" si="10"/>
        <v>OK</v>
      </c>
      <c r="Q119" t="str">
        <f t="shared" si="11"/>
        <v>Clean: No issues</v>
      </c>
    </row>
    <row r="120" spans="1:17">
      <c r="A120" t="s">
        <v>147</v>
      </c>
      <c r="B120" s="1">
        <v>45342</v>
      </c>
      <c r="C120" t="s">
        <v>17</v>
      </c>
      <c r="D120" t="s">
        <v>13</v>
      </c>
      <c r="E120" t="s">
        <v>23</v>
      </c>
      <c r="F120">
        <v>5</v>
      </c>
      <c r="G120">
        <v>37.46</v>
      </c>
      <c r="H120">
        <v>0</v>
      </c>
      <c r="I120">
        <v>187.3</v>
      </c>
      <c r="J120">
        <v>3.06</v>
      </c>
      <c r="K120" t="s">
        <v>20</v>
      </c>
      <c r="L120" t="str">
        <f t="shared" si="6"/>
        <v>OK</v>
      </c>
      <c r="M120" t="str">
        <f t="shared" si="7"/>
        <v>OK</v>
      </c>
      <c r="N120" t="str">
        <f t="shared" si="8"/>
        <v>Corporate</v>
      </c>
      <c r="O120">
        <f t="shared" si="9"/>
        <v>187.3</v>
      </c>
      <c r="P120" t="str">
        <f t="shared" si="10"/>
        <v>OK</v>
      </c>
      <c r="Q120" t="str">
        <f t="shared" si="11"/>
        <v>Clean: No issues</v>
      </c>
    </row>
    <row r="121" spans="1:17">
      <c r="A121" t="s">
        <v>148</v>
      </c>
      <c r="B121" s="1">
        <v>45442</v>
      </c>
      <c r="C121" t="s">
        <v>26</v>
      </c>
      <c r="D121" t="s">
        <v>27</v>
      </c>
      <c r="E121" t="s">
        <v>23</v>
      </c>
      <c r="F121">
        <v>7</v>
      </c>
      <c r="G121">
        <v>34.65</v>
      </c>
      <c r="H121">
        <v>10</v>
      </c>
      <c r="I121">
        <v>218.3</v>
      </c>
      <c r="J121">
        <v>17.68</v>
      </c>
      <c r="K121" t="s">
        <v>24</v>
      </c>
      <c r="L121" t="str">
        <f t="shared" si="6"/>
        <v>OK</v>
      </c>
      <c r="M121" t="str">
        <f t="shared" si="7"/>
        <v>OK</v>
      </c>
      <c r="N121" t="str">
        <f t="shared" si="8"/>
        <v>Small Business</v>
      </c>
      <c r="O121">
        <f t="shared" si="9"/>
        <v>218.3</v>
      </c>
      <c r="P121" t="str">
        <f t="shared" si="10"/>
        <v>OK</v>
      </c>
      <c r="Q121" t="str">
        <f t="shared" si="11"/>
        <v>Clean: No issues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1A7A-7B39-4C94-A10D-74A8B9806C90}">
  <dimension ref="A1:O124"/>
  <sheetViews>
    <sheetView topLeftCell="A83" zoomScale="63" workbookViewId="0">
      <selection activeCell="L124" sqref="L124"/>
    </sheetView>
  </sheetViews>
  <sheetFormatPr defaultRowHeight="14.4"/>
  <cols>
    <col min="1" max="1" width="10.109375" bestFit="1" customWidth="1"/>
    <col min="2" max="2" width="11" bestFit="1" customWidth="1"/>
    <col min="3" max="3" width="18.77734375" bestFit="1" customWidth="1"/>
    <col min="4" max="4" width="8" bestFit="1" customWidth="1"/>
    <col min="5" max="5" width="16.5546875" bestFit="1" customWidth="1"/>
    <col min="6" max="6" width="9.33203125" bestFit="1" customWidth="1"/>
    <col min="7" max="7" width="9.77734375" bestFit="1" customWidth="1"/>
    <col min="8" max="8" width="16.88671875" bestFit="1" customWidth="1"/>
    <col min="9" max="9" width="15.6640625" bestFit="1" customWidth="1"/>
    <col min="10" max="10" width="13.6640625" bestFit="1" customWidth="1"/>
    <col min="11" max="11" width="17.21875" bestFit="1" customWidth="1"/>
    <col min="12" max="12" width="19" bestFit="1" customWidth="1"/>
    <col min="13" max="13" width="22.33203125" bestFit="1" customWidth="1"/>
    <col min="14" max="14" width="7.33203125" bestFit="1" customWidth="1"/>
    <col min="15" max="15" width="14.554687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177</v>
      </c>
      <c r="M1" s="7" t="s">
        <v>178</v>
      </c>
      <c r="N1" s="7" t="s">
        <v>179</v>
      </c>
      <c r="O1" s="7" t="s">
        <v>180</v>
      </c>
    </row>
    <row r="2" spans="1:15">
      <c r="A2" s="7" t="s">
        <v>11</v>
      </c>
      <c r="B2" s="8">
        <v>45619</v>
      </c>
      <c r="C2" s="7" t="s">
        <v>12</v>
      </c>
      <c r="D2" s="7" t="s">
        <v>13</v>
      </c>
      <c r="E2" s="7" t="s">
        <v>14</v>
      </c>
      <c r="F2" s="7">
        <v>3</v>
      </c>
      <c r="G2" s="7">
        <v>280.81</v>
      </c>
      <c r="H2" s="7">
        <v>15</v>
      </c>
      <c r="I2" s="7">
        <v>716.07</v>
      </c>
      <c r="J2" s="7">
        <v>4.3600000000000003</v>
      </c>
      <c r="K2" s="7" t="s">
        <v>15</v>
      </c>
      <c r="L2" s="9">
        <f>ROUND(I2/F2, 2)</f>
        <v>238.69</v>
      </c>
      <c r="M2" s="7">
        <f>ROUND(I2 - J2, 2)</f>
        <v>711.71</v>
      </c>
      <c r="N2" s="7" t="str">
        <f>TEXT(B2, "mmm")</f>
        <v>Nov</v>
      </c>
      <c r="O2" s="7" t="str">
        <f>IF(H2=0, "0%", IF(H2&lt;=5, "5%", IF(H2&lt;=10, "10%", IF(H2&lt;=15, "15%", "20%"))))</f>
        <v>15%</v>
      </c>
    </row>
    <row r="3" spans="1:15">
      <c r="A3" s="7" t="s">
        <v>16</v>
      </c>
      <c r="B3" s="8">
        <v>45336</v>
      </c>
      <c r="C3" s="7" t="s">
        <v>17</v>
      </c>
      <c r="D3" s="7" t="s">
        <v>18</v>
      </c>
      <c r="E3" s="7" t="s">
        <v>19</v>
      </c>
      <c r="F3" s="7">
        <v>4</v>
      </c>
      <c r="G3" s="7">
        <v>63.41</v>
      </c>
      <c r="H3" s="7">
        <v>0</v>
      </c>
      <c r="I3" s="7">
        <v>253.64</v>
      </c>
      <c r="J3" s="7">
        <v>13.62</v>
      </c>
      <c r="K3" s="7" t="s">
        <v>20</v>
      </c>
      <c r="L3" s="9">
        <f t="shared" ref="L3:L66" si="0">ROUND(I3/F3, 2)</f>
        <v>63.41</v>
      </c>
      <c r="M3" s="7">
        <f t="shared" ref="M3:M66" si="1">ROUND(I3 - J3, 2)</f>
        <v>240.02</v>
      </c>
      <c r="N3" s="7" t="str">
        <f t="shared" ref="N3:N66" si="2">TEXT(B3, "mmm")</f>
        <v>Feb</v>
      </c>
      <c r="O3" s="7" t="str">
        <f t="shared" ref="O3:O66" si="3">IF(H3=0, "0%", IF(H3&lt;=5, "5%", IF(H3&lt;=10, "10%", IF(H3&lt;=15, "15%", "20%"))))</f>
        <v>0%</v>
      </c>
    </row>
    <row r="4" spans="1:15">
      <c r="A4" s="7" t="s">
        <v>21</v>
      </c>
      <c r="B4" s="8">
        <v>45579</v>
      </c>
      <c r="C4" s="7" t="s">
        <v>12</v>
      </c>
      <c r="D4" s="7" t="s">
        <v>22</v>
      </c>
      <c r="E4" s="7" t="s">
        <v>23</v>
      </c>
      <c r="F4" s="7">
        <v>5</v>
      </c>
      <c r="G4" s="7">
        <v>44.76</v>
      </c>
      <c r="H4" s="7">
        <v>20</v>
      </c>
      <c r="I4" s="7">
        <v>179.04</v>
      </c>
      <c r="J4" s="7">
        <v>21.99</v>
      </c>
      <c r="K4" s="7" t="s">
        <v>24</v>
      </c>
      <c r="L4" s="9">
        <f t="shared" si="0"/>
        <v>35.81</v>
      </c>
      <c r="M4" s="7">
        <f t="shared" si="1"/>
        <v>157.05000000000001</v>
      </c>
      <c r="N4" s="7" t="str">
        <f t="shared" si="2"/>
        <v>Oct</v>
      </c>
      <c r="O4" s="7" t="str">
        <f t="shared" si="3"/>
        <v>20%</v>
      </c>
    </row>
    <row r="5" spans="1:15">
      <c r="A5" s="7" t="s">
        <v>25</v>
      </c>
      <c r="B5" s="8">
        <v>45649</v>
      </c>
      <c r="C5" s="7" t="s">
        <v>26</v>
      </c>
      <c r="D5" s="7" t="s">
        <v>27</v>
      </c>
      <c r="E5" s="7" t="s">
        <v>14</v>
      </c>
      <c r="F5" s="7">
        <v>6</v>
      </c>
      <c r="G5" s="7">
        <v>207.49</v>
      </c>
      <c r="H5" s="7">
        <v>0</v>
      </c>
      <c r="I5" s="7">
        <v>1244.94</v>
      </c>
      <c r="J5" s="7">
        <v>4.13</v>
      </c>
      <c r="K5" s="7" t="s">
        <v>20</v>
      </c>
      <c r="L5" s="9">
        <f t="shared" si="0"/>
        <v>207.49</v>
      </c>
      <c r="M5" s="7">
        <f t="shared" si="1"/>
        <v>1240.81</v>
      </c>
      <c r="N5" s="7" t="str">
        <f t="shared" si="2"/>
        <v>Dec</v>
      </c>
      <c r="O5" s="7" t="str">
        <f t="shared" si="3"/>
        <v>0%</v>
      </c>
    </row>
    <row r="6" spans="1:15">
      <c r="A6" s="7" t="s">
        <v>28</v>
      </c>
      <c r="B6" s="8">
        <v>45475</v>
      </c>
      <c r="C6" s="7" t="s">
        <v>26</v>
      </c>
      <c r="D6" s="7" t="s">
        <v>22</v>
      </c>
      <c r="E6" s="7" t="s">
        <v>14</v>
      </c>
      <c r="F6" s="7">
        <v>8</v>
      </c>
      <c r="G6" s="7">
        <v>741.85</v>
      </c>
      <c r="H6" s="7">
        <v>10</v>
      </c>
      <c r="I6" s="7">
        <v>5341.32</v>
      </c>
      <c r="J6" s="7">
        <v>4.87</v>
      </c>
      <c r="K6" s="7" t="s">
        <v>29</v>
      </c>
      <c r="L6" s="9">
        <f t="shared" si="0"/>
        <v>667.67</v>
      </c>
      <c r="M6" s="7">
        <f t="shared" si="1"/>
        <v>5336.45</v>
      </c>
      <c r="N6" s="7" t="str">
        <f t="shared" si="2"/>
        <v>Jul</v>
      </c>
      <c r="O6" s="7" t="str">
        <f t="shared" si="3"/>
        <v>10%</v>
      </c>
    </row>
    <row r="7" spans="1:15">
      <c r="A7" s="7" t="s">
        <v>30</v>
      </c>
      <c r="B7" s="8">
        <v>45332</v>
      </c>
      <c r="C7" s="7" t="s">
        <v>17</v>
      </c>
      <c r="D7" s="7" t="s">
        <v>27</v>
      </c>
      <c r="E7" s="7" t="s">
        <v>31</v>
      </c>
      <c r="F7" s="7">
        <v>6</v>
      </c>
      <c r="G7" s="7">
        <v>267.93</v>
      </c>
      <c r="H7" s="7">
        <v>10</v>
      </c>
      <c r="I7" s="7">
        <v>1446.82</v>
      </c>
      <c r="J7" s="7">
        <v>6.42</v>
      </c>
      <c r="K7" s="7" t="s">
        <v>20</v>
      </c>
      <c r="L7" s="9">
        <f t="shared" si="0"/>
        <v>241.14</v>
      </c>
      <c r="M7" s="7">
        <f t="shared" si="1"/>
        <v>1440.4</v>
      </c>
      <c r="N7" s="7" t="str">
        <f t="shared" si="2"/>
        <v>Feb</v>
      </c>
      <c r="O7" s="7" t="str">
        <f t="shared" si="3"/>
        <v>10%</v>
      </c>
    </row>
    <row r="8" spans="1:15">
      <c r="A8" s="7" t="s">
        <v>32</v>
      </c>
      <c r="B8" s="8">
        <v>45315</v>
      </c>
      <c r="C8" s="7" t="s">
        <v>17</v>
      </c>
      <c r="D8" s="7" t="s">
        <v>33</v>
      </c>
      <c r="E8" s="7" t="s">
        <v>14</v>
      </c>
      <c r="F8" s="7">
        <v>4</v>
      </c>
      <c r="G8" s="7">
        <v>887.88</v>
      </c>
      <c r="H8" s="7">
        <v>20</v>
      </c>
      <c r="I8" s="7">
        <v>2841.22</v>
      </c>
      <c r="J8" s="7">
        <v>4.32</v>
      </c>
      <c r="K8" s="7" t="s">
        <v>34</v>
      </c>
      <c r="L8" s="9">
        <f t="shared" si="0"/>
        <v>710.31</v>
      </c>
      <c r="M8" s="7">
        <f t="shared" si="1"/>
        <v>2836.9</v>
      </c>
      <c r="N8" s="7" t="str">
        <f t="shared" si="2"/>
        <v>Jan</v>
      </c>
      <c r="O8" s="7" t="str">
        <f t="shared" si="3"/>
        <v>20%</v>
      </c>
    </row>
    <row r="9" spans="1:15">
      <c r="A9" s="7" t="s">
        <v>35</v>
      </c>
      <c r="B9" s="8">
        <v>45524</v>
      </c>
      <c r="C9" s="7" t="s">
        <v>17</v>
      </c>
      <c r="D9" s="7" t="s">
        <v>27</v>
      </c>
      <c r="E9" s="7" t="s">
        <v>36</v>
      </c>
      <c r="F9" s="7">
        <v>4</v>
      </c>
      <c r="G9" s="7">
        <v>25.36</v>
      </c>
      <c r="H9" s="7">
        <v>15</v>
      </c>
      <c r="I9" s="7">
        <v>86.22</v>
      </c>
      <c r="J9" s="7">
        <v>8.14</v>
      </c>
      <c r="K9" s="7" t="s">
        <v>20</v>
      </c>
      <c r="L9" s="9">
        <f t="shared" si="0"/>
        <v>21.56</v>
      </c>
      <c r="M9" s="7">
        <f t="shared" si="1"/>
        <v>78.08</v>
      </c>
      <c r="N9" s="7" t="str">
        <f t="shared" si="2"/>
        <v>Aug</v>
      </c>
      <c r="O9" s="7" t="str">
        <f t="shared" si="3"/>
        <v>15%</v>
      </c>
    </row>
    <row r="10" spans="1:15">
      <c r="A10" s="7" t="s">
        <v>37</v>
      </c>
      <c r="B10" s="8">
        <v>45603</v>
      </c>
      <c r="C10" s="7" t="s">
        <v>17</v>
      </c>
      <c r="D10" s="7" t="s">
        <v>33</v>
      </c>
      <c r="E10" s="7" t="s">
        <v>31</v>
      </c>
      <c r="F10" s="7">
        <v>3</v>
      </c>
      <c r="G10" s="7">
        <v>224.16</v>
      </c>
      <c r="H10" s="7">
        <v>5</v>
      </c>
      <c r="I10" s="7">
        <v>638.86</v>
      </c>
      <c r="J10" s="7">
        <v>10.73</v>
      </c>
      <c r="K10" s="7" t="s">
        <v>15</v>
      </c>
      <c r="L10" s="9">
        <f t="shared" si="0"/>
        <v>212.95</v>
      </c>
      <c r="M10" s="7">
        <f t="shared" si="1"/>
        <v>628.13</v>
      </c>
      <c r="N10" s="7" t="str">
        <f t="shared" si="2"/>
        <v>Nov</v>
      </c>
      <c r="O10" s="7" t="str">
        <f t="shared" si="3"/>
        <v>5%</v>
      </c>
    </row>
    <row r="11" spans="1:15">
      <c r="A11" s="7" t="s">
        <v>38</v>
      </c>
      <c r="B11" s="8">
        <v>45404</v>
      </c>
      <c r="C11" s="7" t="s">
        <v>17</v>
      </c>
      <c r="D11" s="7" t="s">
        <v>27</v>
      </c>
      <c r="E11" s="7" t="s">
        <v>19</v>
      </c>
      <c r="F11" s="7">
        <v>1</v>
      </c>
      <c r="G11" s="7">
        <v>153.07</v>
      </c>
      <c r="H11" s="7">
        <v>20</v>
      </c>
      <c r="I11" s="7">
        <v>122.46</v>
      </c>
      <c r="J11" s="7">
        <v>9.26</v>
      </c>
      <c r="K11" s="7" t="s">
        <v>34</v>
      </c>
      <c r="L11" s="9">
        <f t="shared" si="0"/>
        <v>122.46</v>
      </c>
      <c r="M11" s="7">
        <f t="shared" si="1"/>
        <v>113.2</v>
      </c>
      <c r="N11" s="7" t="str">
        <f t="shared" si="2"/>
        <v>Apr</v>
      </c>
      <c r="O11" s="7" t="str">
        <f t="shared" si="3"/>
        <v>20%</v>
      </c>
    </row>
    <row r="12" spans="1:15">
      <c r="A12" s="7" t="s">
        <v>39</v>
      </c>
      <c r="B12" s="8">
        <v>45325</v>
      </c>
      <c r="C12" s="7" t="s">
        <v>12</v>
      </c>
      <c r="D12" s="7" t="s">
        <v>22</v>
      </c>
      <c r="E12" s="7" t="s">
        <v>14</v>
      </c>
      <c r="F12" s="7">
        <v>8</v>
      </c>
      <c r="G12" s="7">
        <v>254.35</v>
      </c>
      <c r="H12" s="7">
        <v>5</v>
      </c>
      <c r="I12" s="7">
        <v>1933.06</v>
      </c>
      <c r="J12" s="7">
        <v>22.35</v>
      </c>
      <c r="K12" s="7" t="s">
        <v>29</v>
      </c>
      <c r="L12" s="9">
        <f t="shared" si="0"/>
        <v>241.63</v>
      </c>
      <c r="M12" s="7">
        <f t="shared" si="1"/>
        <v>1910.71</v>
      </c>
      <c r="N12" s="7" t="str">
        <f t="shared" si="2"/>
        <v>Feb</v>
      </c>
      <c r="O12" s="7" t="str">
        <f t="shared" si="3"/>
        <v>5%</v>
      </c>
    </row>
    <row r="13" spans="1:15">
      <c r="A13" s="7" t="s">
        <v>40</v>
      </c>
      <c r="B13" s="8">
        <v>45365</v>
      </c>
      <c r="C13" s="7" t="s">
        <v>26</v>
      </c>
      <c r="D13" s="7" t="s">
        <v>33</v>
      </c>
      <c r="E13" s="7" t="s">
        <v>36</v>
      </c>
      <c r="F13" s="7">
        <v>5</v>
      </c>
      <c r="G13" s="7">
        <v>45.97</v>
      </c>
      <c r="H13" s="7">
        <v>15</v>
      </c>
      <c r="I13" s="7">
        <v>195.37</v>
      </c>
      <c r="J13" s="7">
        <v>15.45</v>
      </c>
      <c r="K13" s="7" t="s">
        <v>15</v>
      </c>
      <c r="L13" s="9">
        <f t="shared" si="0"/>
        <v>39.07</v>
      </c>
      <c r="M13" s="7">
        <f t="shared" si="1"/>
        <v>179.92</v>
      </c>
      <c r="N13" s="7" t="str">
        <f t="shared" si="2"/>
        <v>Mar</v>
      </c>
      <c r="O13" s="7" t="str">
        <f t="shared" si="3"/>
        <v>15%</v>
      </c>
    </row>
    <row r="14" spans="1:15">
      <c r="A14" s="7" t="s">
        <v>41</v>
      </c>
      <c r="B14" s="8">
        <v>45496</v>
      </c>
      <c r="C14" s="7" t="s">
        <v>26</v>
      </c>
      <c r="D14" s="7" t="s">
        <v>33</v>
      </c>
      <c r="E14" s="7" t="s">
        <v>36</v>
      </c>
      <c r="F14" s="7">
        <v>2</v>
      </c>
      <c r="G14" s="7">
        <v>33.020000000000003</v>
      </c>
      <c r="H14" s="7">
        <v>20</v>
      </c>
      <c r="I14" s="7">
        <v>52.83</v>
      </c>
      <c r="J14" s="7">
        <v>3.08</v>
      </c>
      <c r="K14" s="7" t="s">
        <v>20</v>
      </c>
      <c r="L14" s="9">
        <f t="shared" si="0"/>
        <v>26.42</v>
      </c>
      <c r="M14" s="7">
        <f t="shared" si="1"/>
        <v>49.75</v>
      </c>
      <c r="N14" s="7" t="str">
        <f t="shared" si="2"/>
        <v>Jul</v>
      </c>
      <c r="O14" s="7" t="str">
        <f t="shared" si="3"/>
        <v>20%</v>
      </c>
    </row>
    <row r="15" spans="1:15">
      <c r="A15" s="7" t="s">
        <v>42</v>
      </c>
      <c r="B15" s="8">
        <v>45370</v>
      </c>
      <c r="C15" s="7" t="s">
        <v>17</v>
      </c>
      <c r="D15" s="7" t="s">
        <v>33</v>
      </c>
      <c r="E15" s="7" t="s">
        <v>23</v>
      </c>
      <c r="F15" s="7">
        <v>7</v>
      </c>
      <c r="G15" s="7">
        <v>95.52</v>
      </c>
      <c r="H15" s="7">
        <v>5</v>
      </c>
      <c r="I15" s="7">
        <v>635.21</v>
      </c>
      <c r="J15" s="7">
        <v>15.71</v>
      </c>
      <c r="K15" s="7" t="s">
        <v>29</v>
      </c>
      <c r="L15" s="9">
        <f t="shared" si="0"/>
        <v>90.74</v>
      </c>
      <c r="M15" s="7">
        <f t="shared" si="1"/>
        <v>619.5</v>
      </c>
      <c r="N15" s="7" t="str">
        <f t="shared" si="2"/>
        <v>Mar</v>
      </c>
      <c r="O15" s="7" t="str">
        <f t="shared" si="3"/>
        <v>5%</v>
      </c>
    </row>
    <row r="16" spans="1:15">
      <c r="A16" s="7" t="s">
        <v>43</v>
      </c>
      <c r="B16" s="8">
        <v>45562</v>
      </c>
      <c r="C16" s="7" t="s">
        <v>26</v>
      </c>
      <c r="D16" s="7" t="s">
        <v>22</v>
      </c>
      <c r="E16" s="7" t="s">
        <v>19</v>
      </c>
      <c r="F16" s="7">
        <v>2</v>
      </c>
      <c r="G16" s="7">
        <v>356.13</v>
      </c>
      <c r="H16" s="7">
        <v>15</v>
      </c>
      <c r="I16" s="7">
        <v>605.41999999999996</v>
      </c>
      <c r="J16" s="7">
        <v>22.35</v>
      </c>
      <c r="K16" s="7" t="s">
        <v>34</v>
      </c>
      <c r="L16" s="9">
        <f t="shared" si="0"/>
        <v>302.70999999999998</v>
      </c>
      <c r="M16" s="7">
        <f t="shared" si="1"/>
        <v>583.07000000000005</v>
      </c>
      <c r="N16" s="7" t="str">
        <f t="shared" si="2"/>
        <v>Sep</v>
      </c>
      <c r="O16" s="7" t="str">
        <f t="shared" si="3"/>
        <v>15%</v>
      </c>
    </row>
    <row r="17" spans="1:15">
      <c r="A17" s="7" t="s">
        <v>44</v>
      </c>
      <c r="B17" s="8">
        <v>45620</v>
      </c>
      <c r="C17" s="7" t="s">
        <v>26</v>
      </c>
      <c r="D17" s="7" t="s">
        <v>13</v>
      </c>
      <c r="E17" s="7" t="s">
        <v>14</v>
      </c>
      <c r="F17" s="7">
        <v>8</v>
      </c>
      <c r="G17" s="7">
        <v>436.51</v>
      </c>
      <c r="H17" s="7">
        <v>0</v>
      </c>
      <c r="I17" s="7">
        <v>3492.08</v>
      </c>
      <c r="J17" s="7">
        <v>23.94</v>
      </c>
      <c r="K17" s="7" t="s">
        <v>34</v>
      </c>
      <c r="L17" s="9">
        <f t="shared" si="0"/>
        <v>436.51</v>
      </c>
      <c r="M17" s="7">
        <f t="shared" si="1"/>
        <v>3468.14</v>
      </c>
      <c r="N17" s="7" t="str">
        <f t="shared" si="2"/>
        <v>Nov</v>
      </c>
      <c r="O17" s="7" t="str">
        <f t="shared" si="3"/>
        <v>0%</v>
      </c>
    </row>
    <row r="18" spans="1:15">
      <c r="A18" s="7" t="s">
        <v>45</v>
      </c>
      <c r="B18" s="8">
        <v>45548</v>
      </c>
      <c r="C18" s="7" t="s">
        <v>12</v>
      </c>
      <c r="D18" s="7" t="s">
        <v>22</v>
      </c>
      <c r="E18" s="7" t="s">
        <v>19</v>
      </c>
      <c r="F18" s="7">
        <v>5</v>
      </c>
      <c r="G18" s="7">
        <v>441.73</v>
      </c>
      <c r="H18" s="7">
        <v>20</v>
      </c>
      <c r="I18" s="7">
        <v>1766.92</v>
      </c>
      <c r="J18" s="7">
        <v>16.7</v>
      </c>
      <c r="K18" s="7" t="s">
        <v>15</v>
      </c>
      <c r="L18" s="9">
        <f t="shared" si="0"/>
        <v>353.38</v>
      </c>
      <c r="M18" s="7">
        <f t="shared" si="1"/>
        <v>1750.22</v>
      </c>
      <c r="N18" s="7" t="str">
        <f t="shared" si="2"/>
        <v>Sep</v>
      </c>
      <c r="O18" s="7" t="str">
        <f t="shared" si="3"/>
        <v>20%</v>
      </c>
    </row>
    <row r="19" spans="1:15">
      <c r="A19" s="7" t="s">
        <v>46</v>
      </c>
      <c r="B19" s="8">
        <v>45393</v>
      </c>
      <c r="C19" s="7" t="s">
        <v>12</v>
      </c>
      <c r="D19" s="7" t="s">
        <v>27</v>
      </c>
      <c r="E19" s="7" t="s">
        <v>36</v>
      </c>
      <c r="F19" s="7">
        <v>1</v>
      </c>
      <c r="G19" s="7">
        <v>34.67</v>
      </c>
      <c r="H19" s="7">
        <v>10</v>
      </c>
      <c r="I19" s="7">
        <v>31.2</v>
      </c>
      <c r="J19" s="7">
        <v>9.4600000000000009</v>
      </c>
      <c r="K19" s="7" t="s">
        <v>20</v>
      </c>
      <c r="L19" s="9">
        <f t="shared" si="0"/>
        <v>31.2</v>
      </c>
      <c r="M19" s="7">
        <f t="shared" si="1"/>
        <v>21.74</v>
      </c>
      <c r="N19" s="7" t="str">
        <f t="shared" si="2"/>
        <v>Apr</v>
      </c>
      <c r="O19" s="7" t="str">
        <f t="shared" si="3"/>
        <v>10%</v>
      </c>
    </row>
    <row r="20" spans="1:15">
      <c r="A20" s="7" t="s">
        <v>47</v>
      </c>
      <c r="B20" s="8">
        <v>45349</v>
      </c>
      <c r="C20" s="7" t="s">
        <v>26</v>
      </c>
      <c r="D20" s="7" t="s">
        <v>27</v>
      </c>
      <c r="E20" s="7" t="s">
        <v>36</v>
      </c>
      <c r="F20" s="7">
        <v>2</v>
      </c>
      <c r="G20" s="7">
        <v>8.19</v>
      </c>
      <c r="H20" s="7">
        <v>0</v>
      </c>
      <c r="I20" s="7">
        <v>16.38</v>
      </c>
      <c r="J20" s="7">
        <v>18.829999999999998</v>
      </c>
      <c r="K20" s="7" t="s">
        <v>20</v>
      </c>
      <c r="L20" s="9">
        <f t="shared" si="0"/>
        <v>8.19</v>
      </c>
      <c r="M20" s="7">
        <f t="shared" si="1"/>
        <v>-2.4500000000000002</v>
      </c>
      <c r="N20" s="7" t="str">
        <f t="shared" si="2"/>
        <v>Feb</v>
      </c>
      <c r="O20" s="7" t="str">
        <f t="shared" si="3"/>
        <v>0%</v>
      </c>
    </row>
    <row r="21" spans="1:15">
      <c r="A21" s="7" t="s">
        <v>48</v>
      </c>
      <c r="B21" s="8">
        <v>45564</v>
      </c>
      <c r="C21" s="7" t="s">
        <v>12</v>
      </c>
      <c r="D21" s="7" t="s">
        <v>33</v>
      </c>
      <c r="E21" s="7" t="s">
        <v>23</v>
      </c>
      <c r="F21" s="7">
        <v>3</v>
      </c>
      <c r="G21" s="7">
        <v>142.82</v>
      </c>
      <c r="H21" s="7">
        <v>0</v>
      </c>
      <c r="I21" s="7">
        <v>428.46</v>
      </c>
      <c r="J21" s="7">
        <v>14.14</v>
      </c>
      <c r="K21" s="7" t="s">
        <v>15</v>
      </c>
      <c r="L21" s="9">
        <f t="shared" si="0"/>
        <v>142.82</v>
      </c>
      <c r="M21" s="7">
        <f t="shared" si="1"/>
        <v>414.32</v>
      </c>
      <c r="N21" s="7" t="str">
        <f t="shared" si="2"/>
        <v>Sep</v>
      </c>
      <c r="O21" s="7" t="str">
        <f t="shared" si="3"/>
        <v>0%</v>
      </c>
    </row>
    <row r="22" spans="1:15">
      <c r="A22" s="7" t="s">
        <v>49</v>
      </c>
      <c r="B22" s="8">
        <v>45508</v>
      </c>
      <c r="C22" s="7" t="s">
        <v>12</v>
      </c>
      <c r="D22" s="7" t="s">
        <v>22</v>
      </c>
      <c r="E22" s="7" t="s">
        <v>36</v>
      </c>
      <c r="F22" s="7">
        <v>7</v>
      </c>
      <c r="G22" s="7">
        <v>44.21</v>
      </c>
      <c r="H22" s="7">
        <v>15</v>
      </c>
      <c r="I22" s="7">
        <v>263.05</v>
      </c>
      <c r="J22" s="7">
        <v>16.95</v>
      </c>
      <c r="K22" s="7" t="s">
        <v>29</v>
      </c>
      <c r="L22" s="9">
        <f t="shared" si="0"/>
        <v>37.58</v>
      </c>
      <c r="M22" s="7">
        <f t="shared" si="1"/>
        <v>246.1</v>
      </c>
      <c r="N22" s="7" t="str">
        <f t="shared" si="2"/>
        <v>Aug</v>
      </c>
      <c r="O22" s="7" t="str">
        <f t="shared" si="3"/>
        <v>15%</v>
      </c>
    </row>
    <row r="23" spans="1:15">
      <c r="A23" s="7" t="s">
        <v>50</v>
      </c>
      <c r="B23" s="8">
        <v>45556</v>
      </c>
      <c r="C23" s="7" t="s">
        <v>26</v>
      </c>
      <c r="D23" s="7" t="s">
        <v>13</v>
      </c>
      <c r="E23" s="7" t="s">
        <v>36</v>
      </c>
      <c r="F23" s="7">
        <v>6</v>
      </c>
      <c r="G23" s="7">
        <v>17.36</v>
      </c>
      <c r="H23" s="7">
        <v>0</v>
      </c>
      <c r="I23" s="7">
        <v>104.16</v>
      </c>
      <c r="J23" s="7">
        <v>15.53</v>
      </c>
      <c r="K23" s="7" t="s">
        <v>24</v>
      </c>
      <c r="L23" s="9">
        <f t="shared" si="0"/>
        <v>17.36</v>
      </c>
      <c r="M23" s="7">
        <f t="shared" si="1"/>
        <v>88.63</v>
      </c>
      <c r="N23" s="7" t="str">
        <f t="shared" si="2"/>
        <v>Sep</v>
      </c>
      <c r="O23" s="7" t="str">
        <f t="shared" si="3"/>
        <v>0%</v>
      </c>
    </row>
    <row r="24" spans="1:15">
      <c r="A24" s="7" t="s">
        <v>51</v>
      </c>
      <c r="B24" s="8">
        <v>45593</v>
      </c>
      <c r="C24" s="7" t="s">
        <v>12</v>
      </c>
      <c r="D24" s="7" t="s">
        <v>13</v>
      </c>
      <c r="E24" s="7" t="s">
        <v>19</v>
      </c>
      <c r="F24" s="7">
        <v>1</v>
      </c>
      <c r="G24" s="7">
        <v>368.53</v>
      </c>
      <c r="H24" s="7">
        <v>0</v>
      </c>
      <c r="I24" s="7">
        <v>368.53</v>
      </c>
      <c r="J24" s="7">
        <v>3.55</v>
      </c>
      <c r="K24" s="7" t="s">
        <v>20</v>
      </c>
      <c r="L24" s="9">
        <f t="shared" si="0"/>
        <v>368.53</v>
      </c>
      <c r="M24" s="7">
        <f t="shared" si="1"/>
        <v>364.98</v>
      </c>
      <c r="N24" s="7" t="str">
        <f t="shared" si="2"/>
        <v>Oct</v>
      </c>
      <c r="O24" s="7" t="str">
        <f t="shared" si="3"/>
        <v>0%</v>
      </c>
    </row>
    <row r="25" spans="1:15">
      <c r="A25" s="7" t="s">
        <v>52</v>
      </c>
      <c r="B25" s="8">
        <v>45461</v>
      </c>
      <c r="C25" s="7" t="s">
        <v>12</v>
      </c>
      <c r="D25" s="7" t="s">
        <v>22</v>
      </c>
      <c r="E25" s="7" t="s">
        <v>36</v>
      </c>
      <c r="F25" s="7">
        <v>8</v>
      </c>
      <c r="G25" s="7">
        <v>20.32</v>
      </c>
      <c r="H25" s="7">
        <v>0</v>
      </c>
      <c r="I25" s="7">
        <v>162.56</v>
      </c>
      <c r="J25" s="7">
        <v>14.4</v>
      </c>
      <c r="K25" s="7" t="s">
        <v>15</v>
      </c>
      <c r="L25" s="9">
        <f t="shared" si="0"/>
        <v>20.32</v>
      </c>
      <c r="M25" s="7">
        <f t="shared" si="1"/>
        <v>148.16</v>
      </c>
      <c r="N25" s="7" t="str">
        <f t="shared" si="2"/>
        <v>Jun</v>
      </c>
      <c r="O25" s="7" t="str">
        <f t="shared" si="3"/>
        <v>0%</v>
      </c>
    </row>
    <row r="26" spans="1:15">
      <c r="A26" s="7" t="s">
        <v>53</v>
      </c>
      <c r="B26" s="8">
        <v>45587</v>
      </c>
      <c r="C26" s="7" t="s">
        <v>26</v>
      </c>
      <c r="D26" s="7" t="s">
        <v>33</v>
      </c>
      <c r="E26" s="7" t="s">
        <v>23</v>
      </c>
      <c r="F26" s="7">
        <v>4</v>
      </c>
      <c r="G26" s="7">
        <v>124.01</v>
      </c>
      <c r="H26" s="7">
        <v>0</v>
      </c>
      <c r="I26" s="7">
        <v>496.04</v>
      </c>
      <c r="J26" s="7">
        <v>4.2300000000000004</v>
      </c>
      <c r="K26" s="7" t="s">
        <v>29</v>
      </c>
      <c r="L26" s="9">
        <f t="shared" si="0"/>
        <v>124.01</v>
      </c>
      <c r="M26" s="7">
        <f t="shared" si="1"/>
        <v>491.81</v>
      </c>
      <c r="N26" s="7" t="str">
        <f t="shared" si="2"/>
        <v>Oct</v>
      </c>
      <c r="O26" s="7" t="str">
        <f t="shared" si="3"/>
        <v>0%</v>
      </c>
    </row>
    <row r="27" spans="1:15">
      <c r="A27" s="7" t="s">
        <v>54</v>
      </c>
      <c r="B27" s="8">
        <v>45473</v>
      </c>
      <c r="C27" s="7" t="s">
        <v>26</v>
      </c>
      <c r="D27" s="7" t="s">
        <v>18</v>
      </c>
      <c r="E27" s="7" t="s">
        <v>23</v>
      </c>
      <c r="F27" s="7">
        <v>1</v>
      </c>
      <c r="G27" s="7">
        <v>131.62</v>
      </c>
      <c r="H27" s="7">
        <v>15</v>
      </c>
      <c r="I27" s="7">
        <v>111.88</v>
      </c>
      <c r="J27" s="7">
        <v>17.03</v>
      </c>
      <c r="K27" s="7" t="s">
        <v>20</v>
      </c>
      <c r="L27" s="9">
        <f t="shared" si="0"/>
        <v>111.88</v>
      </c>
      <c r="M27" s="7">
        <f t="shared" si="1"/>
        <v>94.85</v>
      </c>
      <c r="N27" s="7" t="str">
        <f t="shared" si="2"/>
        <v>Jun</v>
      </c>
      <c r="O27" s="7" t="str">
        <f t="shared" si="3"/>
        <v>15%</v>
      </c>
    </row>
    <row r="28" spans="1:15">
      <c r="A28" s="7" t="s">
        <v>55</v>
      </c>
      <c r="B28" s="8">
        <v>45323</v>
      </c>
      <c r="C28" s="7" t="s">
        <v>26</v>
      </c>
      <c r="D28" s="7" t="s">
        <v>27</v>
      </c>
      <c r="E28" s="7" t="s">
        <v>19</v>
      </c>
      <c r="F28" s="7">
        <v>4</v>
      </c>
      <c r="G28" s="7">
        <v>161.9</v>
      </c>
      <c r="H28" s="7">
        <v>10</v>
      </c>
      <c r="I28" s="7">
        <v>582.84</v>
      </c>
      <c r="J28" s="7">
        <v>12.32</v>
      </c>
      <c r="K28" s="7" t="s">
        <v>29</v>
      </c>
      <c r="L28" s="9">
        <f t="shared" si="0"/>
        <v>145.71</v>
      </c>
      <c r="M28" s="7">
        <f t="shared" si="1"/>
        <v>570.52</v>
      </c>
      <c r="N28" s="7" t="str">
        <f t="shared" si="2"/>
        <v>Feb</v>
      </c>
      <c r="O28" s="7" t="str">
        <f t="shared" si="3"/>
        <v>10%</v>
      </c>
    </row>
    <row r="29" spans="1:15">
      <c r="A29" s="7" t="s">
        <v>56</v>
      </c>
      <c r="B29" s="8">
        <v>45385</v>
      </c>
      <c r="C29" s="7" t="s">
        <v>26</v>
      </c>
      <c r="D29" s="7" t="s">
        <v>18</v>
      </c>
      <c r="E29" s="7" t="s">
        <v>36</v>
      </c>
      <c r="F29" s="7">
        <v>2</v>
      </c>
      <c r="G29" s="7">
        <v>53.1</v>
      </c>
      <c r="H29" s="7">
        <v>5</v>
      </c>
      <c r="I29" s="7">
        <v>100.89</v>
      </c>
      <c r="J29" s="7">
        <v>20.58</v>
      </c>
      <c r="K29" s="7" t="s">
        <v>15</v>
      </c>
      <c r="L29" s="9">
        <f t="shared" si="0"/>
        <v>50.45</v>
      </c>
      <c r="M29" s="7">
        <f t="shared" si="1"/>
        <v>80.31</v>
      </c>
      <c r="N29" s="7" t="str">
        <f t="shared" si="2"/>
        <v>Apr</v>
      </c>
      <c r="O29" s="7" t="str">
        <f t="shared" si="3"/>
        <v>5%</v>
      </c>
    </row>
    <row r="30" spans="1:15">
      <c r="A30" s="7" t="s">
        <v>57</v>
      </c>
      <c r="B30" s="8">
        <v>45342</v>
      </c>
      <c r="C30" s="7" t="s">
        <v>12</v>
      </c>
      <c r="D30" s="7" t="s">
        <v>22</v>
      </c>
      <c r="E30" s="7" t="s">
        <v>19</v>
      </c>
      <c r="F30" s="7">
        <v>4</v>
      </c>
      <c r="G30" s="7">
        <v>486.05</v>
      </c>
      <c r="H30" s="7">
        <v>0</v>
      </c>
      <c r="I30" s="7">
        <v>1944.2</v>
      </c>
      <c r="J30" s="7">
        <v>11.35</v>
      </c>
      <c r="K30" s="7" t="s">
        <v>29</v>
      </c>
      <c r="L30" s="9">
        <f t="shared" si="0"/>
        <v>486.05</v>
      </c>
      <c r="M30" s="7">
        <f t="shared" si="1"/>
        <v>1932.85</v>
      </c>
      <c r="N30" s="7" t="str">
        <f t="shared" si="2"/>
        <v>Feb</v>
      </c>
      <c r="O30" s="7" t="str">
        <f t="shared" si="3"/>
        <v>0%</v>
      </c>
    </row>
    <row r="31" spans="1:15">
      <c r="A31" s="7" t="s">
        <v>58</v>
      </c>
      <c r="B31" s="8">
        <v>45401</v>
      </c>
      <c r="C31" s="7" t="s">
        <v>26</v>
      </c>
      <c r="D31" s="7" t="s">
        <v>13</v>
      </c>
      <c r="E31" s="7" t="s">
        <v>36</v>
      </c>
      <c r="F31" s="7">
        <v>7</v>
      </c>
      <c r="G31" s="7">
        <v>25.84</v>
      </c>
      <c r="H31" s="7">
        <v>0</v>
      </c>
      <c r="I31" s="7">
        <v>180.88</v>
      </c>
      <c r="J31" s="7">
        <v>23.31</v>
      </c>
      <c r="K31" s="7" t="s">
        <v>29</v>
      </c>
      <c r="L31" s="9">
        <f t="shared" si="0"/>
        <v>25.84</v>
      </c>
      <c r="M31" s="7">
        <f t="shared" si="1"/>
        <v>157.57</v>
      </c>
      <c r="N31" s="7" t="str">
        <f t="shared" si="2"/>
        <v>Apr</v>
      </c>
      <c r="O31" s="7" t="str">
        <f t="shared" si="3"/>
        <v>0%</v>
      </c>
    </row>
    <row r="32" spans="1:15">
      <c r="A32" s="7" t="s">
        <v>59</v>
      </c>
      <c r="B32" s="8">
        <v>45438</v>
      </c>
      <c r="C32" s="7" t="s">
        <v>26</v>
      </c>
      <c r="D32" s="7" t="s">
        <v>22</v>
      </c>
      <c r="E32" s="7" t="s">
        <v>23</v>
      </c>
      <c r="F32" s="7">
        <v>5</v>
      </c>
      <c r="G32" s="7">
        <v>35.9</v>
      </c>
      <c r="H32" s="7">
        <v>0</v>
      </c>
      <c r="I32" s="7">
        <v>179.5</v>
      </c>
      <c r="J32" s="7">
        <v>24.28</v>
      </c>
      <c r="K32" s="7" t="s">
        <v>15</v>
      </c>
      <c r="L32" s="9">
        <f t="shared" si="0"/>
        <v>35.9</v>
      </c>
      <c r="M32" s="7">
        <f t="shared" si="1"/>
        <v>155.22</v>
      </c>
      <c r="N32" s="7" t="str">
        <f t="shared" si="2"/>
        <v>May</v>
      </c>
      <c r="O32" s="7" t="str">
        <f t="shared" si="3"/>
        <v>0%</v>
      </c>
    </row>
    <row r="33" spans="1:15">
      <c r="A33" s="7" t="s">
        <v>60</v>
      </c>
      <c r="B33" s="8">
        <v>45569</v>
      </c>
      <c r="C33" s="7" t="s">
        <v>12</v>
      </c>
      <c r="D33" s="7" t="s">
        <v>27</v>
      </c>
      <c r="E33" s="7" t="s">
        <v>19</v>
      </c>
      <c r="F33" s="7">
        <v>8</v>
      </c>
      <c r="G33" s="7">
        <v>72.56</v>
      </c>
      <c r="H33" s="7">
        <v>10</v>
      </c>
      <c r="I33" s="7">
        <v>522.42999999999995</v>
      </c>
      <c r="J33" s="7">
        <v>23.15</v>
      </c>
      <c r="K33" s="7" t="s">
        <v>15</v>
      </c>
      <c r="L33" s="9">
        <f t="shared" si="0"/>
        <v>65.3</v>
      </c>
      <c r="M33" s="7">
        <f t="shared" si="1"/>
        <v>499.28</v>
      </c>
      <c r="N33" s="7" t="str">
        <f t="shared" si="2"/>
        <v>Oct</v>
      </c>
      <c r="O33" s="7" t="str">
        <f t="shared" si="3"/>
        <v>10%</v>
      </c>
    </row>
    <row r="34" spans="1:15">
      <c r="A34" s="7" t="s">
        <v>61</v>
      </c>
      <c r="B34" s="8">
        <v>45372</v>
      </c>
      <c r="C34" s="7" t="s">
        <v>12</v>
      </c>
      <c r="D34" s="7" t="s">
        <v>22</v>
      </c>
      <c r="E34" s="7" t="s">
        <v>19</v>
      </c>
      <c r="F34" s="7">
        <v>2</v>
      </c>
      <c r="G34" s="7">
        <v>433.1</v>
      </c>
      <c r="H34" s="7">
        <v>10</v>
      </c>
      <c r="I34" s="7">
        <v>779.58</v>
      </c>
      <c r="J34" s="7">
        <v>3.56</v>
      </c>
      <c r="K34" s="7" t="s">
        <v>24</v>
      </c>
      <c r="L34" s="9">
        <f t="shared" si="0"/>
        <v>389.79</v>
      </c>
      <c r="M34" s="7">
        <f t="shared" si="1"/>
        <v>776.02</v>
      </c>
      <c r="N34" s="7" t="str">
        <f t="shared" si="2"/>
        <v>Mar</v>
      </c>
      <c r="O34" s="7" t="str">
        <f t="shared" si="3"/>
        <v>10%</v>
      </c>
    </row>
    <row r="35" spans="1:15">
      <c r="A35" s="7" t="s">
        <v>62</v>
      </c>
      <c r="B35" s="8">
        <v>45498</v>
      </c>
      <c r="C35" s="7" t="s">
        <v>12</v>
      </c>
      <c r="D35" s="7" t="s">
        <v>22</v>
      </c>
      <c r="E35" s="7" t="s">
        <v>36</v>
      </c>
      <c r="F35" s="7">
        <v>1</v>
      </c>
      <c r="G35" s="7">
        <v>36.840000000000003</v>
      </c>
      <c r="H35" s="7">
        <v>10</v>
      </c>
      <c r="I35" s="7">
        <v>33.159999999999997</v>
      </c>
      <c r="J35" s="7">
        <v>3.89</v>
      </c>
      <c r="K35" s="7" t="s">
        <v>15</v>
      </c>
      <c r="L35" s="9">
        <f t="shared" si="0"/>
        <v>33.159999999999997</v>
      </c>
      <c r="M35" s="7">
        <f t="shared" si="1"/>
        <v>29.27</v>
      </c>
      <c r="N35" s="7" t="str">
        <f t="shared" si="2"/>
        <v>Jul</v>
      </c>
      <c r="O35" s="7" t="str">
        <f t="shared" si="3"/>
        <v>10%</v>
      </c>
    </row>
    <row r="36" spans="1:15">
      <c r="A36" s="7" t="s">
        <v>63</v>
      </c>
      <c r="B36" s="8">
        <v>45581</v>
      </c>
      <c r="C36" s="7" t="s">
        <v>17</v>
      </c>
      <c r="D36" s="7" t="s">
        <v>27</v>
      </c>
      <c r="E36" s="7" t="s">
        <v>14</v>
      </c>
      <c r="F36" s="7">
        <v>6</v>
      </c>
      <c r="G36" s="7">
        <v>247.49</v>
      </c>
      <c r="H36" s="7">
        <v>0</v>
      </c>
      <c r="I36" s="7">
        <v>1484.94</v>
      </c>
      <c r="J36" s="7">
        <v>8.11</v>
      </c>
      <c r="K36" s="7" t="s">
        <v>24</v>
      </c>
      <c r="L36" s="9">
        <f t="shared" si="0"/>
        <v>247.49</v>
      </c>
      <c r="M36" s="7">
        <f t="shared" si="1"/>
        <v>1476.83</v>
      </c>
      <c r="N36" s="7" t="str">
        <f t="shared" si="2"/>
        <v>Oct</v>
      </c>
      <c r="O36" s="7" t="str">
        <f t="shared" si="3"/>
        <v>0%</v>
      </c>
    </row>
    <row r="37" spans="1:15">
      <c r="A37" s="7" t="s">
        <v>64</v>
      </c>
      <c r="B37" s="8">
        <v>45635</v>
      </c>
      <c r="C37" s="7" t="s">
        <v>17</v>
      </c>
      <c r="D37" s="7" t="s">
        <v>27</v>
      </c>
      <c r="E37" s="7" t="s">
        <v>23</v>
      </c>
      <c r="F37" s="7">
        <v>2</v>
      </c>
      <c r="G37" s="7">
        <v>57.68</v>
      </c>
      <c r="H37" s="7">
        <v>0</v>
      </c>
      <c r="I37" s="7">
        <v>115.36</v>
      </c>
      <c r="J37" s="7">
        <v>12.54</v>
      </c>
      <c r="K37" s="7" t="s">
        <v>15</v>
      </c>
      <c r="L37" s="9">
        <f t="shared" si="0"/>
        <v>57.68</v>
      </c>
      <c r="M37" s="7">
        <f t="shared" si="1"/>
        <v>102.82</v>
      </c>
      <c r="N37" s="7" t="str">
        <f t="shared" si="2"/>
        <v>Dec</v>
      </c>
      <c r="O37" s="7" t="str">
        <f t="shared" si="3"/>
        <v>0%</v>
      </c>
    </row>
    <row r="38" spans="1:15">
      <c r="A38" s="7" t="s">
        <v>65</v>
      </c>
      <c r="B38" s="8">
        <v>45343</v>
      </c>
      <c r="C38" s="7" t="s">
        <v>12</v>
      </c>
      <c r="D38" s="7" t="s">
        <v>22</v>
      </c>
      <c r="E38" s="7" t="s">
        <v>36</v>
      </c>
      <c r="F38" s="7">
        <v>3</v>
      </c>
      <c r="G38" s="7">
        <v>32.82</v>
      </c>
      <c r="H38" s="7">
        <v>0</v>
      </c>
      <c r="I38" s="7">
        <v>98.46</v>
      </c>
      <c r="J38" s="7">
        <v>22.26</v>
      </c>
      <c r="K38" s="7" t="s">
        <v>24</v>
      </c>
      <c r="L38" s="9">
        <f t="shared" si="0"/>
        <v>32.82</v>
      </c>
      <c r="M38" s="7">
        <f t="shared" si="1"/>
        <v>76.2</v>
      </c>
      <c r="N38" s="7" t="str">
        <f t="shared" si="2"/>
        <v>Feb</v>
      </c>
      <c r="O38" s="7" t="str">
        <f t="shared" si="3"/>
        <v>0%</v>
      </c>
    </row>
    <row r="39" spans="1:15">
      <c r="A39" s="7" t="s">
        <v>66</v>
      </c>
      <c r="B39" s="8">
        <v>45481</v>
      </c>
      <c r="C39" s="7" t="s">
        <v>26</v>
      </c>
      <c r="D39" s="7" t="s">
        <v>33</v>
      </c>
      <c r="E39" s="7" t="s">
        <v>23</v>
      </c>
      <c r="F39" s="7">
        <v>5</v>
      </c>
      <c r="G39" s="7">
        <v>127.56</v>
      </c>
      <c r="H39" s="7">
        <v>10</v>
      </c>
      <c r="I39" s="7">
        <v>574.02</v>
      </c>
      <c r="J39" s="7">
        <v>24.63</v>
      </c>
      <c r="K39" s="7" t="s">
        <v>15</v>
      </c>
      <c r="L39" s="9">
        <f t="shared" si="0"/>
        <v>114.8</v>
      </c>
      <c r="M39" s="7">
        <f t="shared" si="1"/>
        <v>549.39</v>
      </c>
      <c r="N39" s="7" t="str">
        <f t="shared" si="2"/>
        <v>Jul</v>
      </c>
      <c r="O39" s="7" t="str">
        <f t="shared" si="3"/>
        <v>10%</v>
      </c>
    </row>
    <row r="40" spans="1:15">
      <c r="A40" s="7" t="s">
        <v>67</v>
      </c>
      <c r="B40" s="8">
        <v>45296</v>
      </c>
      <c r="C40" s="7" t="s">
        <v>17</v>
      </c>
      <c r="D40" s="7" t="s">
        <v>22</v>
      </c>
      <c r="E40" s="7" t="s">
        <v>14</v>
      </c>
      <c r="F40" s="7">
        <v>2</v>
      </c>
      <c r="G40" s="7">
        <v>844.04</v>
      </c>
      <c r="H40" s="7">
        <v>0</v>
      </c>
      <c r="I40" s="7">
        <v>1688.08</v>
      </c>
      <c r="J40" s="7">
        <v>8.08</v>
      </c>
      <c r="K40" s="7" t="s">
        <v>20</v>
      </c>
      <c r="L40" s="9">
        <f t="shared" si="0"/>
        <v>844.04</v>
      </c>
      <c r="M40" s="7">
        <f t="shared" si="1"/>
        <v>1680</v>
      </c>
      <c r="N40" s="7" t="str">
        <f t="shared" si="2"/>
        <v>Jan</v>
      </c>
      <c r="O40" s="7" t="str">
        <f t="shared" si="3"/>
        <v>0%</v>
      </c>
    </row>
    <row r="41" spans="1:15">
      <c r="A41" s="7" t="s">
        <v>68</v>
      </c>
      <c r="B41" s="8">
        <v>45575</v>
      </c>
      <c r="C41" s="7" t="s">
        <v>12</v>
      </c>
      <c r="D41" s="7" t="s">
        <v>27</v>
      </c>
      <c r="E41" s="7" t="s">
        <v>14</v>
      </c>
      <c r="F41" s="7">
        <v>6</v>
      </c>
      <c r="G41" s="7">
        <v>575.96</v>
      </c>
      <c r="H41" s="7">
        <v>0</v>
      </c>
      <c r="I41" s="7">
        <v>3455.76</v>
      </c>
      <c r="J41" s="7">
        <v>17.809999999999999</v>
      </c>
      <c r="K41" s="7" t="s">
        <v>34</v>
      </c>
      <c r="L41" s="9">
        <f t="shared" si="0"/>
        <v>575.96</v>
      </c>
      <c r="M41" s="7">
        <f t="shared" si="1"/>
        <v>3437.95</v>
      </c>
      <c r="N41" s="7" t="str">
        <f t="shared" si="2"/>
        <v>Oct</v>
      </c>
      <c r="O41" s="7" t="str">
        <f t="shared" si="3"/>
        <v>0%</v>
      </c>
    </row>
    <row r="42" spans="1:15">
      <c r="A42" s="7" t="s">
        <v>69</v>
      </c>
      <c r="B42" s="8">
        <v>45550</v>
      </c>
      <c r="C42" s="7" t="s">
        <v>26</v>
      </c>
      <c r="D42" s="7" t="s">
        <v>27</v>
      </c>
      <c r="E42" s="7" t="s">
        <v>19</v>
      </c>
      <c r="F42" s="7">
        <v>7</v>
      </c>
      <c r="G42" s="7">
        <v>91.53</v>
      </c>
      <c r="H42" s="7">
        <v>20</v>
      </c>
      <c r="I42" s="7">
        <v>512.57000000000005</v>
      </c>
      <c r="J42" s="7">
        <v>8.36</v>
      </c>
      <c r="K42" s="7" t="s">
        <v>20</v>
      </c>
      <c r="L42" s="9">
        <f t="shared" si="0"/>
        <v>73.22</v>
      </c>
      <c r="M42" s="7">
        <f t="shared" si="1"/>
        <v>504.21</v>
      </c>
      <c r="N42" s="7" t="str">
        <f t="shared" si="2"/>
        <v>Sep</v>
      </c>
      <c r="O42" s="7" t="str">
        <f t="shared" si="3"/>
        <v>20%</v>
      </c>
    </row>
    <row r="43" spans="1:15">
      <c r="A43" s="7" t="s">
        <v>70</v>
      </c>
      <c r="B43" s="8">
        <v>45462</v>
      </c>
      <c r="C43" s="7" t="s">
        <v>12</v>
      </c>
      <c r="D43" s="7" t="s">
        <v>27</v>
      </c>
      <c r="E43" s="7" t="s">
        <v>36</v>
      </c>
      <c r="F43" s="7">
        <v>7</v>
      </c>
      <c r="G43" s="7">
        <v>45.77</v>
      </c>
      <c r="H43" s="7">
        <v>10</v>
      </c>
      <c r="I43" s="7">
        <v>288.35000000000002</v>
      </c>
      <c r="J43" s="7">
        <v>2.2200000000000002</v>
      </c>
      <c r="K43" s="7" t="s">
        <v>20</v>
      </c>
      <c r="L43" s="9">
        <f t="shared" si="0"/>
        <v>41.19</v>
      </c>
      <c r="M43" s="7">
        <f t="shared" si="1"/>
        <v>286.13</v>
      </c>
      <c r="N43" s="7" t="str">
        <f t="shared" si="2"/>
        <v>Jun</v>
      </c>
      <c r="O43" s="7" t="str">
        <f t="shared" si="3"/>
        <v>10%</v>
      </c>
    </row>
    <row r="44" spans="1:15">
      <c r="A44" s="7" t="s">
        <v>71</v>
      </c>
      <c r="B44" s="8">
        <v>45645</v>
      </c>
      <c r="C44" s="7" t="s">
        <v>12</v>
      </c>
      <c r="D44" s="7" t="s">
        <v>22</v>
      </c>
      <c r="E44" s="7" t="s">
        <v>19</v>
      </c>
      <c r="F44" s="7">
        <v>3</v>
      </c>
      <c r="G44" s="7">
        <v>425.57</v>
      </c>
      <c r="H44" s="7">
        <v>5</v>
      </c>
      <c r="I44" s="7">
        <v>1212.8699999999999</v>
      </c>
      <c r="J44" s="7">
        <v>4.93</v>
      </c>
      <c r="K44" s="7" t="s">
        <v>34</v>
      </c>
      <c r="L44" s="9">
        <f t="shared" si="0"/>
        <v>404.29</v>
      </c>
      <c r="M44" s="7">
        <f t="shared" si="1"/>
        <v>1207.94</v>
      </c>
      <c r="N44" s="7" t="str">
        <f t="shared" si="2"/>
        <v>Dec</v>
      </c>
      <c r="O44" s="7" t="str">
        <f t="shared" si="3"/>
        <v>5%</v>
      </c>
    </row>
    <row r="45" spans="1:15">
      <c r="A45" s="7" t="s">
        <v>72</v>
      </c>
      <c r="B45" s="8">
        <v>45478</v>
      </c>
      <c r="C45" s="7" t="s">
        <v>12</v>
      </c>
      <c r="D45" s="7" t="s">
        <v>27</v>
      </c>
      <c r="E45" s="7" t="s">
        <v>36</v>
      </c>
      <c r="F45" s="7">
        <v>2</v>
      </c>
      <c r="G45" s="7">
        <v>42.51</v>
      </c>
      <c r="H45" s="7">
        <v>0</v>
      </c>
      <c r="I45" s="7">
        <v>85.02</v>
      </c>
      <c r="J45" s="7">
        <v>19.940000000000001</v>
      </c>
      <c r="K45" s="7" t="s">
        <v>29</v>
      </c>
      <c r="L45" s="9">
        <f t="shared" si="0"/>
        <v>42.51</v>
      </c>
      <c r="M45" s="7">
        <f t="shared" si="1"/>
        <v>65.08</v>
      </c>
      <c r="N45" s="7" t="str">
        <f t="shared" si="2"/>
        <v>Jul</v>
      </c>
      <c r="O45" s="7" t="str">
        <f t="shared" si="3"/>
        <v>0%</v>
      </c>
    </row>
    <row r="46" spans="1:15">
      <c r="A46" s="7" t="s">
        <v>73</v>
      </c>
      <c r="B46" s="8">
        <v>45609</v>
      </c>
      <c r="C46" s="7" t="s">
        <v>17</v>
      </c>
      <c r="D46" s="7" t="s">
        <v>33</v>
      </c>
      <c r="E46" s="7" t="s">
        <v>36</v>
      </c>
      <c r="F46" s="7">
        <v>3</v>
      </c>
      <c r="G46" s="7">
        <v>52.55</v>
      </c>
      <c r="H46" s="7">
        <v>5</v>
      </c>
      <c r="I46" s="7">
        <v>149.77000000000001</v>
      </c>
      <c r="J46" s="7">
        <v>2.57</v>
      </c>
      <c r="K46" s="7" t="s">
        <v>34</v>
      </c>
      <c r="L46" s="9">
        <f t="shared" si="0"/>
        <v>49.92</v>
      </c>
      <c r="M46" s="7">
        <f t="shared" si="1"/>
        <v>147.19999999999999</v>
      </c>
      <c r="N46" s="7" t="str">
        <f t="shared" si="2"/>
        <v>Nov</v>
      </c>
      <c r="O46" s="7" t="str">
        <f t="shared" si="3"/>
        <v>5%</v>
      </c>
    </row>
    <row r="47" spans="1:15">
      <c r="A47" s="7" t="s">
        <v>74</v>
      </c>
      <c r="B47" s="8">
        <v>45502</v>
      </c>
      <c r="C47" s="7" t="s">
        <v>17</v>
      </c>
      <c r="D47" s="7" t="s">
        <v>33</v>
      </c>
      <c r="E47" s="7" t="s">
        <v>14</v>
      </c>
      <c r="F47" s="7">
        <v>2</v>
      </c>
      <c r="G47" s="7">
        <v>210.54</v>
      </c>
      <c r="H47" s="7">
        <v>5</v>
      </c>
      <c r="I47" s="7">
        <v>400.03</v>
      </c>
      <c r="J47" s="7">
        <v>22.06</v>
      </c>
      <c r="K47" s="7" t="s">
        <v>29</v>
      </c>
      <c r="L47" s="9">
        <f t="shared" si="0"/>
        <v>200.02</v>
      </c>
      <c r="M47" s="7">
        <f t="shared" si="1"/>
        <v>377.97</v>
      </c>
      <c r="N47" s="7" t="str">
        <f t="shared" si="2"/>
        <v>Jul</v>
      </c>
      <c r="O47" s="7" t="str">
        <f t="shared" si="3"/>
        <v>5%</v>
      </c>
    </row>
    <row r="48" spans="1:15">
      <c r="A48" s="7" t="s">
        <v>75</v>
      </c>
      <c r="B48" s="8">
        <v>45405</v>
      </c>
      <c r="C48" s="7" t="s">
        <v>12</v>
      </c>
      <c r="D48" s="7" t="s">
        <v>18</v>
      </c>
      <c r="E48" s="7" t="s">
        <v>14</v>
      </c>
      <c r="F48" s="7">
        <v>4</v>
      </c>
      <c r="G48" s="7">
        <v>330.26</v>
      </c>
      <c r="H48" s="7">
        <v>0</v>
      </c>
      <c r="I48" s="7">
        <v>1321.04</v>
      </c>
      <c r="J48" s="7">
        <v>2.54</v>
      </c>
      <c r="K48" s="7" t="s">
        <v>24</v>
      </c>
      <c r="L48" s="9">
        <f t="shared" si="0"/>
        <v>330.26</v>
      </c>
      <c r="M48" s="7">
        <f t="shared" si="1"/>
        <v>1318.5</v>
      </c>
      <c r="N48" s="7" t="str">
        <f t="shared" si="2"/>
        <v>Apr</v>
      </c>
      <c r="O48" s="7" t="str">
        <f t="shared" si="3"/>
        <v>0%</v>
      </c>
    </row>
    <row r="49" spans="1:15">
      <c r="A49" s="7" t="s">
        <v>76</v>
      </c>
      <c r="B49" s="8">
        <v>45496</v>
      </c>
      <c r="C49" s="7" t="s">
        <v>26</v>
      </c>
      <c r="D49" s="7" t="s">
        <v>27</v>
      </c>
      <c r="E49" s="7" t="s">
        <v>19</v>
      </c>
      <c r="F49" s="7">
        <v>5</v>
      </c>
      <c r="G49" s="7">
        <v>485.1</v>
      </c>
      <c r="H49" s="7">
        <v>0</v>
      </c>
      <c r="I49" s="7">
        <v>2425.5</v>
      </c>
      <c r="J49" s="7">
        <v>16.75</v>
      </c>
      <c r="K49" s="7" t="s">
        <v>29</v>
      </c>
      <c r="L49" s="9">
        <f t="shared" si="0"/>
        <v>485.1</v>
      </c>
      <c r="M49" s="7">
        <f t="shared" si="1"/>
        <v>2408.75</v>
      </c>
      <c r="N49" s="7" t="str">
        <f t="shared" si="2"/>
        <v>Jul</v>
      </c>
      <c r="O49" s="7" t="str">
        <f t="shared" si="3"/>
        <v>0%</v>
      </c>
    </row>
    <row r="50" spans="1:15">
      <c r="A50" s="7" t="s">
        <v>77</v>
      </c>
      <c r="B50" s="8">
        <v>45639</v>
      </c>
      <c r="C50" s="7" t="s">
        <v>17</v>
      </c>
      <c r="D50" s="7" t="s">
        <v>27</v>
      </c>
      <c r="E50" s="7" t="s">
        <v>19</v>
      </c>
      <c r="F50" s="7">
        <v>5</v>
      </c>
      <c r="G50" s="7">
        <v>101.9</v>
      </c>
      <c r="H50" s="7">
        <v>0</v>
      </c>
      <c r="I50" s="7">
        <v>509.5</v>
      </c>
      <c r="J50" s="7">
        <v>15.35</v>
      </c>
      <c r="K50" s="7" t="s">
        <v>34</v>
      </c>
      <c r="L50" s="9">
        <f t="shared" si="0"/>
        <v>101.9</v>
      </c>
      <c r="M50" s="7">
        <f t="shared" si="1"/>
        <v>494.15</v>
      </c>
      <c r="N50" s="7" t="str">
        <f t="shared" si="2"/>
        <v>Dec</v>
      </c>
      <c r="O50" s="7" t="str">
        <f t="shared" si="3"/>
        <v>0%</v>
      </c>
    </row>
    <row r="51" spans="1:15">
      <c r="A51" s="7" t="s">
        <v>78</v>
      </c>
      <c r="B51" s="8">
        <v>45311</v>
      </c>
      <c r="C51" s="7" t="s">
        <v>12</v>
      </c>
      <c r="D51" s="7" t="s">
        <v>22</v>
      </c>
      <c r="E51" s="7" t="s">
        <v>23</v>
      </c>
      <c r="F51" s="7">
        <v>6</v>
      </c>
      <c r="G51" s="7">
        <v>61.67</v>
      </c>
      <c r="H51" s="7">
        <v>5</v>
      </c>
      <c r="I51" s="7">
        <v>351.52</v>
      </c>
      <c r="J51" s="7">
        <v>15.94</v>
      </c>
      <c r="K51" s="7" t="s">
        <v>15</v>
      </c>
      <c r="L51" s="9">
        <f t="shared" si="0"/>
        <v>58.59</v>
      </c>
      <c r="M51" s="7">
        <f t="shared" si="1"/>
        <v>335.58</v>
      </c>
      <c r="N51" s="7" t="str">
        <f t="shared" si="2"/>
        <v>Jan</v>
      </c>
      <c r="O51" s="7" t="str">
        <f t="shared" si="3"/>
        <v>5%</v>
      </c>
    </row>
    <row r="52" spans="1:15">
      <c r="A52" s="7" t="s">
        <v>79</v>
      </c>
      <c r="B52" s="8">
        <v>45351</v>
      </c>
      <c r="C52" s="7" t="s">
        <v>26</v>
      </c>
      <c r="D52" s="7" t="s">
        <v>22</v>
      </c>
      <c r="E52" s="7" t="s">
        <v>36</v>
      </c>
      <c r="F52" s="7">
        <v>7</v>
      </c>
      <c r="G52" s="7">
        <v>19.010000000000002</v>
      </c>
      <c r="H52" s="7">
        <v>0</v>
      </c>
      <c r="I52" s="7">
        <v>133.07</v>
      </c>
      <c r="J52" s="7">
        <v>13.96</v>
      </c>
      <c r="K52" s="7" t="s">
        <v>15</v>
      </c>
      <c r="L52" s="9">
        <f t="shared" si="0"/>
        <v>19.010000000000002</v>
      </c>
      <c r="M52" s="7">
        <f t="shared" si="1"/>
        <v>119.11</v>
      </c>
      <c r="N52" s="7" t="str">
        <f t="shared" si="2"/>
        <v>Feb</v>
      </c>
      <c r="O52" s="7" t="str">
        <f t="shared" si="3"/>
        <v>0%</v>
      </c>
    </row>
    <row r="53" spans="1:15">
      <c r="A53" s="7" t="s">
        <v>80</v>
      </c>
      <c r="B53" s="8">
        <v>45643</v>
      </c>
      <c r="C53" s="7" t="s">
        <v>17</v>
      </c>
      <c r="D53" s="7" t="s">
        <v>33</v>
      </c>
      <c r="E53" s="7" t="s">
        <v>14</v>
      </c>
      <c r="F53" s="7">
        <v>6</v>
      </c>
      <c r="G53" s="7">
        <v>433.66</v>
      </c>
      <c r="H53" s="7">
        <v>10</v>
      </c>
      <c r="I53" s="7">
        <v>2341.7600000000002</v>
      </c>
      <c r="J53" s="7">
        <v>9.2200000000000006</v>
      </c>
      <c r="K53" s="7" t="s">
        <v>20</v>
      </c>
      <c r="L53" s="9">
        <f t="shared" si="0"/>
        <v>390.29</v>
      </c>
      <c r="M53" s="7">
        <f t="shared" si="1"/>
        <v>2332.54</v>
      </c>
      <c r="N53" s="7" t="str">
        <f t="shared" si="2"/>
        <v>Dec</v>
      </c>
      <c r="O53" s="7" t="str">
        <f t="shared" si="3"/>
        <v>10%</v>
      </c>
    </row>
    <row r="54" spans="1:15">
      <c r="A54" s="7" t="s">
        <v>81</v>
      </c>
      <c r="B54" s="8">
        <v>45445</v>
      </c>
      <c r="C54" s="7" t="s">
        <v>17</v>
      </c>
      <c r="D54" s="7" t="s">
        <v>27</v>
      </c>
      <c r="E54" s="7" t="s">
        <v>23</v>
      </c>
      <c r="F54" s="7">
        <v>5</v>
      </c>
      <c r="G54" s="7">
        <v>59.03</v>
      </c>
      <c r="H54" s="7">
        <v>10</v>
      </c>
      <c r="I54" s="7">
        <v>265.63</v>
      </c>
      <c r="J54" s="7">
        <v>4.93</v>
      </c>
      <c r="K54" s="7" t="s">
        <v>29</v>
      </c>
      <c r="L54" s="9">
        <f t="shared" si="0"/>
        <v>53.13</v>
      </c>
      <c r="M54" s="7">
        <f t="shared" si="1"/>
        <v>260.7</v>
      </c>
      <c r="N54" s="7" t="str">
        <f t="shared" si="2"/>
        <v>Jun</v>
      </c>
      <c r="O54" s="7" t="str">
        <f t="shared" si="3"/>
        <v>10%</v>
      </c>
    </row>
    <row r="55" spans="1:15">
      <c r="A55" s="7" t="s">
        <v>82</v>
      </c>
      <c r="B55" s="8">
        <v>45632</v>
      </c>
      <c r="C55" s="7" t="s">
        <v>26</v>
      </c>
      <c r="D55" s="7" t="s">
        <v>33</v>
      </c>
      <c r="E55" s="7" t="s">
        <v>31</v>
      </c>
      <c r="F55" s="7">
        <v>7</v>
      </c>
      <c r="G55" s="7">
        <v>179.35</v>
      </c>
      <c r="H55" s="7">
        <v>10</v>
      </c>
      <c r="I55" s="7">
        <v>1129.9000000000001</v>
      </c>
      <c r="J55" s="7">
        <v>21.18</v>
      </c>
      <c r="K55" s="7" t="s">
        <v>34</v>
      </c>
      <c r="L55" s="9">
        <f t="shared" si="0"/>
        <v>161.41</v>
      </c>
      <c r="M55" s="7">
        <f t="shared" si="1"/>
        <v>1108.72</v>
      </c>
      <c r="N55" s="7" t="str">
        <f t="shared" si="2"/>
        <v>Dec</v>
      </c>
      <c r="O55" s="7" t="str">
        <f t="shared" si="3"/>
        <v>10%</v>
      </c>
    </row>
    <row r="56" spans="1:15">
      <c r="A56" s="7" t="s">
        <v>83</v>
      </c>
      <c r="B56" s="8">
        <v>45438</v>
      </c>
      <c r="C56" s="7" t="s">
        <v>12</v>
      </c>
      <c r="D56" s="7" t="s">
        <v>18</v>
      </c>
      <c r="E56" s="7" t="s">
        <v>31</v>
      </c>
      <c r="F56" s="7">
        <v>6</v>
      </c>
      <c r="G56" s="7">
        <v>189.87</v>
      </c>
      <c r="H56" s="7">
        <v>5</v>
      </c>
      <c r="I56" s="7">
        <v>1082.26</v>
      </c>
      <c r="J56" s="7">
        <v>12.16</v>
      </c>
      <c r="K56" s="7" t="s">
        <v>24</v>
      </c>
      <c r="L56" s="9">
        <f t="shared" si="0"/>
        <v>180.38</v>
      </c>
      <c r="M56" s="7">
        <f t="shared" si="1"/>
        <v>1070.0999999999999</v>
      </c>
      <c r="N56" s="7" t="str">
        <f t="shared" si="2"/>
        <v>May</v>
      </c>
      <c r="O56" s="7" t="str">
        <f t="shared" si="3"/>
        <v>5%</v>
      </c>
    </row>
    <row r="57" spans="1:15">
      <c r="A57" s="7" t="s">
        <v>84</v>
      </c>
      <c r="B57" s="8">
        <v>45553</v>
      </c>
      <c r="C57" s="7" t="s">
        <v>26</v>
      </c>
      <c r="D57" s="7" t="s">
        <v>33</v>
      </c>
      <c r="E57" s="7" t="s">
        <v>19</v>
      </c>
      <c r="F57" s="7">
        <v>6</v>
      </c>
      <c r="G57" s="7">
        <v>177.7</v>
      </c>
      <c r="H57" s="7">
        <v>0</v>
      </c>
      <c r="I57" s="7">
        <v>1066.2</v>
      </c>
      <c r="J57" s="7">
        <v>20.82</v>
      </c>
      <c r="K57" s="7" t="s">
        <v>24</v>
      </c>
      <c r="L57" s="9">
        <f t="shared" si="0"/>
        <v>177.7</v>
      </c>
      <c r="M57" s="7">
        <f t="shared" si="1"/>
        <v>1045.3800000000001</v>
      </c>
      <c r="N57" s="7" t="str">
        <f t="shared" si="2"/>
        <v>Sep</v>
      </c>
      <c r="O57" s="7" t="str">
        <f t="shared" si="3"/>
        <v>0%</v>
      </c>
    </row>
    <row r="58" spans="1:15">
      <c r="A58" s="7" t="s">
        <v>85</v>
      </c>
      <c r="B58" s="8">
        <v>45636</v>
      </c>
      <c r="C58" s="7" t="s">
        <v>26</v>
      </c>
      <c r="D58" s="7" t="s">
        <v>33</v>
      </c>
      <c r="E58" s="7" t="s">
        <v>36</v>
      </c>
      <c r="F58" s="7">
        <v>1</v>
      </c>
      <c r="G58" s="7">
        <v>13.1</v>
      </c>
      <c r="H58" s="7">
        <v>0</v>
      </c>
      <c r="I58" s="7">
        <v>13.1</v>
      </c>
      <c r="J58" s="7">
        <v>24.63</v>
      </c>
      <c r="K58" s="7" t="s">
        <v>15</v>
      </c>
      <c r="L58" s="9">
        <f t="shared" si="0"/>
        <v>13.1</v>
      </c>
      <c r="M58" s="7">
        <f t="shared" si="1"/>
        <v>-11.53</v>
      </c>
      <c r="N58" s="7" t="str">
        <f t="shared" si="2"/>
        <v>Dec</v>
      </c>
      <c r="O58" s="7" t="str">
        <f t="shared" si="3"/>
        <v>0%</v>
      </c>
    </row>
    <row r="59" spans="1:15">
      <c r="A59" s="7" t="s">
        <v>86</v>
      </c>
      <c r="B59" s="8">
        <v>45329</v>
      </c>
      <c r="C59" s="7" t="s">
        <v>26</v>
      </c>
      <c r="D59" s="7" t="s">
        <v>18</v>
      </c>
      <c r="E59" s="7" t="s">
        <v>31</v>
      </c>
      <c r="F59" s="7">
        <v>7</v>
      </c>
      <c r="G59" s="7">
        <v>74.44</v>
      </c>
      <c r="H59" s="7">
        <v>5</v>
      </c>
      <c r="I59" s="7">
        <v>495.03</v>
      </c>
      <c r="J59" s="7">
        <v>11.19</v>
      </c>
      <c r="K59" s="7" t="s">
        <v>24</v>
      </c>
      <c r="L59" s="9">
        <f t="shared" si="0"/>
        <v>70.72</v>
      </c>
      <c r="M59" s="7">
        <f t="shared" si="1"/>
        <v>483.84</v>
      </c>
      <c r="N59" s="7" t="str">
        <f t="shared" si="2"/>
        <v>Feb</v>
      </c>
      <c r="O59" s="7" t="str">
        <f t="shared" si="3"/>
        <v>5%</v>
      </c>
    </row>
    <row r="60" spans="1:15">
      <c r="A60" s="7" t="s">
        <v>87</v>
      </c>
      <c r="B60" s="8">
        <v>45627</v>
      </c>
      <c r="C60" s="7" t="s">
        <v>17</v>
      </c>
      <c r="D60" s="7" t="s">
        <v>13</v>
      </c>
      <c r="E60" s="7" t="s">
        <v>19</v>
      </c>
      <c r="F60" s="7">
        <v>4</v>
      </c>
      <c r="G60" s="7">
        <v>400.29</v>
      </c>
      <c r="H60" s="7">
        <v>0</v>
      </c>
      <c r="I60" s="7">
        <v>1601.16</v>
      </c>
      <c r="J60" s="7">
        <v>20.49</v>
      </c>
      <c r="K60" s="7" t="s">
        <v>15</v>
      </c>
      <c r="L60" s="9">
        <f t="shared" si="0"/>
        <v>400.29</v>
      </c>
      <c r="M60" s="7">
        <f t="shared" si="1"/>
        <v>1580.67</v>
      </c>
      <c r="N60" s="7" t="str">
        <f t="shared" si="2"/>
        <v>Dec</v>
      </c>
      <c r="O60" s="7" t="str">
        <f t="shared" si="3"/>
        <v>0%</v>
      </c>
    </row>
    <row r="61" spans="1:15">
      <c r="A61" s="7" t="s">
        <v>88</v>
      </c>
      <c r="B61" s="8">
        <v>45529</v>
      </c>
      <c r="C61" s="7" t="s">
        <v>12</v>
      </c>
      <c r="D61" s="7" t="s">
        <v>22</v>
      </c>
      <c r="E61" s="7" t="s">
        <v>36</v>
      </c>
      <c r="F61" s="7">
        <v>2</v>
      </c>
      <c r="G61" s="7">
        <v>55.46</v>
      </c>
      <c r="H61" s="7">
        <v>5</v>
      </c>
      <c r="I61" s="7">
        <v>105.37</v>
      </c>
      <c r="J61" s="7">
        <v>5.07</v>
      </c>
      <c r="K61" s="7" t="s">
        <v>29</v>
      </c>
      <c r="L61" s="9">
        <f t="shared" si="0"/>
        <v>52.69</v>
      </c>
      <c r="M61" s="7">
        <f t="shared" si="1"/>
        <v>100.3</v>
      </c>
      <c r="N61" s="7" t="str">
        <f t="shared" si="2"/>
        <v>Aug</v>
      </c>
      <c r="O61" s="7" t="str">
        <f t="shared" si="3"/>
        <v>5%</v>
      </c>
    </row>
    <row r="62" spans="1:15">
      <c r="A62" s="7" t="s">
        <v>89</v>
      </c>
      <c r="B62" s="8">
        <v>45633</v>
      </c>
      <c r="C62" s="7" t="s">
        <v>17</v>
      </c>
      <c r="D62" s="7" t="s">
        <v>22</v>
      </c>
      <c r="E62" s="7" t="s">
        <v>31</v>
      </c>
      <c r="F62" s="7">
        <v>8</v>
      </c>
      <c r="G62" s="7">
        <v>108.84</v>
      </c>
      <c r="H62" s="7">
        <v>10</v>
      </c>
      <c r="I62" s="7">
        <v>783.65</v>
      </c>
      <c r="J62" s="7">
        <v>20.75</v>
      </c>
      <c r="K62" s="7" t="s">
        <v>15</v>
      </c>
      <c r="L62" s="9">
        <f t="shared" si="0"/>
        <v>97.96</v>
      </c>
      <c r="M62" s="7">
        <f t="shared" si="1"/>
        <v>762.9</v>
      </c>
      <c r="N62" s="7" t="str">
        <f t="shared" si="2"/>
        <v>Dec</v>
      </c>
      <c r="O62" s="7" t="str">
        <f t="shared" si="3"/>
        <v>10%</v>
      </c>
    </row>
    <row r="63" spans="1:15">
      <c r="A63" s="7" t="s">
        <v>90</v>
      </c>
      <c r="B63" s="8">
        <v>45510</v>
      </c>
      <c r="C63" s="7" t="s">
        <v>17</v>
      </c>
      <c r="D63" s="7" t="s">
        <v>18</v>
      </c>
      <c r="E63" s="7" t="s">
        <v>36</v>
      </c>
      <c r="F63" s="7">
        <v>8</v>
      </c>
      <c r="G63" s="7">
        <v>45.9</v>
      </c>
      <c r="H63" s="7">
        <v>5</v>
      </c>
      <c r="I63" s="7">
        <v>348.84</v>
      </c>
      <c r="J63" s="7">
        <v>7.96</v>
      </c>
      <c r="K63" s="7" t="s">
        <v>24</v>
      </c>
      <c r="L63" s="9">
        <f t="shared" si="0"/>
        <v>43.61</v>
      </c>
      <c r="M63" s="7">
        <f t="shared" si="1"/>
        <v>340.88</v>
      </c>
      <c r="N63" s="7" t="str">
        <f t="shared" si="2"/>
        <v>Aug</v>
      </c>
      <c r="O63" s="7" t="str">
        <f t="shared" si="3"/>
        <v>5%</v>
      </c>
    </row>
    <row r="64" spans="1:15">
      <c r="A64" s="7" t="s">
        <v>91</v>
      </c>
      <c r="B64" s="8">
        <v>45618</v>
      </c>
      <c r="C64" s="7" t="s">
        <v>26</v>
      </c>
      <c r="D64" s="7" t="s">
        <v>22</v>
      </c>
      <c r="E64" s="7" t="s">
        <v>23</v>
      </c>
      <c r="F64" s="7">
        <v>5</v>
      </c>
      <c r="G64" s="7">
        <v>99.61</v>
      </c>
      <c r="H64" s="7">
        <v>5</v>
      </c>
      <c r="I64" s="7">
        <v>473.15</v>
      </c>
      <c r="J64" s="7">
        <v>3.78</v>
      </c>
      <c r="K64" s="7" t="s">
        <v>34</v>
      </c>
      <c r="L64" s="9">
        <f t="shared" si="0"/>
        <v>94.63</v>
      </c>
      <c r="M64" s="7">
        <f t="shared" si="1"/>
        <v>469.37</v>
      </c>
      <c r="N64" s="7" t="str">
        <f t="shared" si="2"/>
        <v>Nov</v>
      </c>
      <c r="O64" s="7" t="str">
        <f t="shared" si="3"/>
        <v>5%</v>
      </c>
    </row>
    <row r="65" spans="1:15">
      <c r="A65" s="7" t="s">
        <v>92</v>
      </c>
      <c r="B65" s="8">
        <v>45412</v>
      </c>
      <c r="C65" s="7" t="s">
        <v>26</v>
      </c>
      <c r="D65" s="7" t="s">
        <v>27</v>
      </c>
      <c r="E65" s="7" t="s">
        <v>14</v>
      </c>
      <c r="F65" s="7">
        <v>2</v>
      </c>
      <c r="G65" s="7">
        <v>812.28</v>
      </c>
      <c r="H65" s="7">
        <v>0</v>
      </c>
      <c r="I65" s="7">
        <v>1624.56</v>
      </c>
      <c r="J65" s="7">
        <v>5.47</v>
      </c>
      <c r="K65" s="7" t="s">
        <v>29</v>
      </c>
      <c r="L65" s="9">
        <f t="shared" si="0"/>
        <v>812.28</v>
      </c>
      <c r="M65" s="7">
        <f t="shared" si="1"/>
        <v>1619.09</v>
      </c>
      <c r="N65" s="7" t="str">
        <f t="shared" si="2"/>
        <v>Apr</v>
      </c>
      <c r="O65" s="7" t="str">
        <f t="shared" si="3"/>
        <v>0%</v>
      </c>
    </row>
    <row r="66" spans="1:15">
      <c r="A66" s="7" t="s">
        <v>93</v>
      </c>
      <c r="B66" s="8">
        <v>45647</v>
      </c>
      <c r="C66" s="7" t="s">
        <v>12</v>
      </c>
      <c r="D66" s="7" t="s">
        <v>33</v>
      </c>
      <c r="E66" s="7" t="s">
        <v>19</v>
      </c>
      <c r="F66" s="7">
        <v>6</v>
      </c>
      <c r="G66" s="7">
        <v>236.69</v>
      </c>
      <c r="H66" s="7">
        <v>10</v>
      </c>
      <c r="I66" s="7">
        <v>1278.1300000000001</v>
      </c>
      <c r="J66" s="7">
        <v>12.72</v>
      </c>
      <c r="K66" s="7" t="s">
        <v>20</v>
      </c>
      <c r="L66" s="9">
        <f t="shared" si="0"/>
        <v>213.02</v>
      </c>
      <c r="M66" s="7">
        <f t="shared" si="1"/>
        <v>1265.4100000000001</v>
      </c>
      <c r="N66" s="7" t="str">
        <f t="shared" si="2"/>
        <v>Dec</v>
      </c>
      <c r="O66" s="7" t="str">
        <f t="shared" si="3"/>
        <v>10%</v>
      </c>
    </row>
    <row r="67" spans="1:15">
      <c r="A67" s="7" t="s">
        <v>94</v>
      </c>
      <c r="B67" s="8">
        <v>45397</v>
      </c>
      <c r="C67" s="7" t="s">
        <v>26</v>
      </c>
      <c r="D67" s="7" t="s">
        <v>18</v>
      </c>
      <c r="E67" s="7" t="s">
        <v>31</v>
      </c>
      <c r="F67" s="7">
        <v>1</v>
      </c>
      <c r="G67" s="7">
        <v>284.89999999999998</v>
      </c>
      <c r="H67" s="7">
        <v>20</v>
      </c>
      <c r="I67" s="7">
        <v>227.92</v>
      </c>
      <c r="J67" s="7">
        <v>22.26</v>
      </c>
      <c r="K67" s="7" t="s">
        <v>15</v>
      </c>
      <c r="L67" s="9">
        <f t="shared" ref="L67:L121" si="4">ROUND(I67/F67, 2)</f>
        <v>227.92</v>
      </c>
      <c r="M67" s="7">
        <f t="shared" ref="M67:M121" si="5">ROUND(I67 - J67, 2)</f>
        <v>205.66</v>
      </c>
      <c r="N67" s="7" t="str">
        <f t="shared" ref="N67:N121" si="6">TEXT(B67, "mmm")</f>
        <v>Apr</v>
      </c>
      <c r="O67" s="7" t="str">
        <f t="shared" ref="O67:O121" si="7">IF(H67=0, "0%", IF(H67&lt;=5, "5%", IF(H67&lt;=10, "10%", IF(H67&lt;=15, "15%", "20%"))))</f>
        <v>20%</v>
      </c>
    </row>
    <row r="68" spans="1:15">
      <c r="A68" s="7" t="s">
        <v>95</v>
      </c>
      <c r="B68" s="8">
        <v>45486</v>
      </c>
      <c r="C68" s="7" t="s">
        <v>26</v>
      </c>
      <c r="D68" s="7" t="s">
        <v>13</v>
      </c>
      <c r="E68" s="7" t="s">
        <v>14</v>
      </c>
      <c r="F68" s="7">
        <v>7</v>
      </c>
      <c r="G68" s="7">
        <v>324.86</v>
      </c>
      <c r="H68" s="7">
        <v>20</v>
      </c>
      <c r="I68" s="7">
        <v>1819.22</v>
      </c>
      <c r="J68" s="7">
        <v>22.51</v>
      </c>
      <c r="K68" s="7" t="s">
        <v>29</v>
      </c>
      <c r="L68" s="9">
        <f t="shared" si="4"/>
        <v>259.89</v>
      </c>
      <c r="M68" s="7">
        <f t="shared" si="5"/>
        <v>1796.71</v>
      </c>
      <c r="N68" s="7" t="str">
        <f t="shared" si="6"/>
        <v>Jul</v>
      </c>
      <c r="O68" s="7" t="str">
        <f t="shared" si="7"/>
        <v>20%</v>
      </c>
    </row>
    <row r="69" spans="1:15">
      <c r="A69" s="7" t="s">
        <v>96</v>
      </c>
      <c r="B69" s="8">
        <v>45567</v>
      </c>
      <c r="C69" s="7" t="s">
        <v>17</v>
      </c>
      <c r="D69" s="7" t="s">
        <v>22</v>
      </c>
      <c r="E69" s="7" t="s">
        <v>31</v>
      </c>
      <c r="F69" s="7">
        <v>8</v>
      </c>
      <c r="G69" s="7">
        <v>271.39</v>
      </c>
      <c r="H69" s="7">
        <v>0</v>
      </c>
      <c r="I69" s="7">
        <v>2171.12</v>
      </c>
      <c r="J69" s="7">
        <v>8.2799999999999994</v>
      </c>
      <c r="K69" s="7" t="s">
        <v>29</v>
      </c>
      <c r="L69" s="9">
        <f t="shared" si="4"/>
        <v>271.39</v>
      </c>
      <c r="M69" s="7">
        <f t="shared" si="5"/>
        <v>2162.84</v>
      </c>
      <c r="N69" s="7" t="str">
        <f t="shared" si="6"/>
        <v>Oct</v>
      </c>
      <c r="O69" s="7" t="str">
        <f t="shared" si="7"/>
        <v>0%</v>
      </c>
    </row>
    <row r="70" spans="1:15">
      <c r="A70" s="7" t="s">
        <v>97</v>
      </c>
      <c r="B70" s="8">
        <v>45306</v>
      </c>
      <c r="C70" s="7" t="s">
        <v>26</v>
      </c>
      <c r="D70" s="7" t="s">
        <v>27</v>
      </c>
      <c r="E70" s="7" t="s">
        <v>23</v>
      </c>
      <c r="F70" s="7">
        <v>8</v>
      </c>
      <c r="G70" s="7">
        <v>112.76</v>
      </c>
      <c r="H70" s="7">
        <v>0</v>
      </c>
      <c r="I70" s="7">
        <v>902.08</v>
      </c>
      <c r="J70" s="7">
        <v>24.56</v>
      </c>
      <c r="K70" s="7" t="s">
        <v>15</v>
      </c>
      <c r="L70" s="9">
        <f t="shared" si="4"/>
        <v>112.76</v>
      </c>
      <c r="M70" s="7">
        <f t="shared" si="5"/>
        <v>877.52</v>
      </c>
      <c r="N70" s="7" t="str">
        <f t="shared" si="6"/>
        <v>Jan</v>
      </c>
      <c r="O70" s="7" t="str">
        <f t="shared" si="7"/>
        <v>0%</v>
      </c>
    </row>
    <row r="71" spans="1:15">
      <c r="A71" s="7" t="s">
        <v>98</v>
      </c>
      <c r="B71" s="8">
        <v>45305</v>
      </c>
      <c r="C71" s="7" t="s">
        <v>26</v>
      </c>
      <c r="D71" s="7" t="s">
        <v>22</v>
      </c>
      <c r="E71" s="7" t="s">
        <v>31</v>
      </c>
      <c r="F71" s="7">
        <v>2</v>
      </c>
      <c r="G71" s="7">
        <v>205.64</v>
      </c>
      <c r="H71" s="7">
        <v>15</v>
      </c>
      <c r="I71" s="7">
        <v>349.59</v>
      </c>
      <c r="J71" s="7">
        <v>11.86</v>
      </c>
      <c r="K71" s="7" t="s">
        <v>29</v>
      </c>
      <c r="L71" s="9">
        <f t="shared" si="4"/>
        <v>174.8</v>
      </c>
      <c r="M71" s="7">
        <f t="shared" si="5"/>
        <v>337.73</v>
      </c>
      <c r="N71" s="7" t="str">
        <f t="shared" si="6"/>
        <v>Jan</v>
      </c>
      <c r="O71" s="7" t="str">
        <f t="shared" si="7"/>
        <v>15%</v>
      </c>
    </row>
    <row r="72" spans="1:15">
      <c r="A72" s="7" t="s">
        <v>99</v>
      </c>
      <c r="B72" s="8">
        <v>45385</v>
      </c>
      <c r="C72" s="7" t="s">
        <v>12</v>
      </c>
      <c r="D72" s="7" t="s">
        <v>27</v>
      </c>
      <c r="E72" s="7" t="s">
        <v>23</v>
      </c>
      <c r="F72" s="7">
        <v>8</v>
      </c>
      <c r="G72" s="7">
        <v>59.19</v>
      </c>
      <c r="H72" s="7">
        <v>0</v>
      </c>
      <c r="I72" s="7">
        <v>473.52</v>
      </c>
      <c r="J72" s="7">
        <v>9.76</v>
      </c>
      <c r="K72" s="7" t="s">
        <v>29</v>
      </c>
      <c r="L72" s="9">
        <f t="shared" si="4"/>
        <v>59.19</v>
      </c>
      <c r="M72" s="7">
        <f t="shared" si="5"/>
        <v>463.76</v>
      </c>
      <c r="N72" s="7" t="str">
        <f t="shared" si="6"/>
        <v>Apr</v>
      </c>
      <c r="O72" s="7" t="str">
        <f t="shared" si="7"/>
        <v>0%</v>
      </c>
    </row>
    <row r="73" spans="1:15">
      <c r="A73" s="7" t="s">
        <v>100</v>
      </c>
      <c r="B73" s="8">
        <v>45434</v>
      </c>
      <c r="C73" s="7" t="s">
        <v>26</v>
      </c>
      <c r="D73" s="7" t="s">
        <v>27</v>
      </c>
      <c r="E73" s="7" t="s">
        <v>19</v>
      </c>
      <c r="F73" s="7">
        <v>1</v>
      </c>
      <c r="G73" s="7">
        <v>261.64</v>
      </c>
      <c r="H73" s="7">
        <v>0</v>
      </c>
      <c r="I73" s="7">
        <v>261.64</v>
      </c>
      <c r="J73" s="7">
        <v>7.16</v>
      </c>
      <c r="K73" s="7" t="s">
        <v>20</v>
      </c>
      <c r="L73" s="9">
        <f t="shared" si="4"/>
        <v>261.64</v>
      </c>
      <c r="M73" s="7">
        <f t="shared" si="5"/>
        <v>254.48</v>
      </c>
      <c r="N73" s="7" t="str">
        <f t="shared" si="6"/>
        <v>May</v>
      </c>
      <c r="O73" s="7" t="str">
        <f t="shared" si="7"/>
        <v>0%</v>
      </c>
    </row>
    <row r="74" spans="1:15">
      <c r="A74" s="7" t="s">
        <v>101</v>
      </c>
      <c r="B74" s="8">
        <v>45625</v>
      </c>
      <c r="C74" s="7" t="s">
        <v>12</v>
      </c>
      <c r="D74" s="7" t="s">
        <v>13</v>
      </c>
      <c r="E74" s="7" t="s">
        <v>36</v>
      </c>
      <c r="F74" s="7">
        <v>1</v>
      </c>
      <c r="G74" s="7">
        <v>15.96</v>
      </c>
      <c r="H74" s="7">
        <v>10</v>
      </c>
      <c r="I74" s="7">
        <v>14.36</v>
      </c>
      <c r="J74" s="7">
        <v>5.5</v>
      </c>
      <c r="K74" s="7" t="s">
        <v>24</v>
      </c>
      <c r="L74" s="9">
        <f t="shared" si="4"/>
        <v>14.36</v>
      </c>
      <c r="M74" s="7">
        <f t="shared" si="5"/>
        <v>8.86</v>
      </c>
      <c r="N74" s="7" t="str">
        <f t="shared" si="6"/>
        <v>Nov</v>
      </c>
      <c r="O74" s="7" t="str">
        <f t="shared" si="7"/>
        <v>10%</v>
      </c>
    </row>
    <row r="75" spans="1:15">
      <c r="A75" s="7" t="s">
        <v>102</v>
      </c>
      <c r="B75" s="8">
        <v>45534</v>
      </c>
      <c r="C75" s="7" t="s">
        <v>17</v>
      </c>
      <c r="D75" s="7" t="s">
        <v>13</v>
      </c>
      <c r="E75" s="7" t="s">
        <v>31</v>
      </c>
      <c r="F75" s="7">
        <v>8</v>
      </c>
      <c r="G75" s="7">
        <v>285.37</v>
      </c>
      <c r="H75" s="7">
        <v>15</v>
      </c>
      <c r="I75" s="7">
        <v>1940.52</v>
      </c>
      <c r="J75" s="7">
        <v>7.89</v>
      </c>
      <c r="K75" s="7" t="s">
        <v>34</v>
      </c>
      <c r="L75" s="9">
        <f t="shared" si="4"/>
        <v>242.57</v>
      </c>
      <c r="M75" s="7">
        <f t="shared" si="5"/>
        <v>1932.63</v>
      </c>
      <c r="N75" s="7" t="str">
        <f t="shared" si="6"/>
        <v>Aug</v>
      </c>
      <c r="O75" s="7" t="str">
        <f t="shared" si="7"/>
        <v>15%</v>
      </c>
    </row>
    <row r="76" spans="1:15">
      <c r="A76" s="7" t="s">
        <v>103</v>
      </c>
      <c r="B76" s="8">
        <v>45377</v>
      </c>
      <c r="C76" s="7" t="s">
        <v>17</v>
      </c>
      <c r="D76" s="7" t="s">
        <v>22</v>
      </c>
      <c r="E76" s="7" t="s">
        <v>19</v>
      </c>
      <c r="F76" s="7">
        <v>3</v>
      </c>
      <c r="G76" s="7">
        <v>400.01</v>
      </c>
      <c r="H76" s="7">
        <v>0</v>
      </c>
      <c r="I76" s="7">
        <v>1200.03</v>
      </c>
      <c r="J76" s="7">
        <v>4.49</v>
      </c>
      <c r="K76" s="7" t="s">
        <v>20</v>
      </c>
      <c r="L76" s="9">
        <f t="shared" si="4"/>
        <v>400.01</v>
      </c>
      <c r="M76" s="7">
        <f t="shared" si="5"/>
        <v>1195.54</v>
      </c>
      <c r="N76" s="7" t="str">
        <f t="shared" si="6"/>
        <v>Mar</v>
      </c>
      <c r="O76" s="7" t="str">
        <f t="shared" si="7"/>
        <v>0%</v>
      </c>
    </row>
    <row r="77" spans="1:15">
      <c r="A77" s="7" t="s">
        <v>104</v>
      </c>
      <c r="B77" s="8">
        <v>45451</v>
      </c>
      <c r="C77" s="7" t="s">
        <v>17</v>
      </c>
      <c r="D77" s="7" t="s">
        <v>18</v>
      </c>
      <c r="E77" s="7" t="s">
        <v>23</v>
      </c>
      <c r="F77" s="7">
        <v>4</v>
      </c>
      <c r="G77" s="7">
        <v>142.1</v>
      </c>
      <c r="H77" s="7">
        <v>0</v>
      </c>
      <c r="I77" s="7">
        <v>568.4</v>
      </c>
      <c r="J77" s="7">
        <v>15.62</v>
      </c>
      <c r="K77" s="7" t="s">
        <v>24</v>
      </c>
      <c r="L77" s="9">
        <f t="shared" si="4"/>
        <v>142.1</v>
      </c>
      <c r="M77" s="7">
        <f t="shared" si="5"/>
        <v>552.78</v>
      </c>
      <c r="N77" s="7" t="str">
        <f t="shared" si="6"/>
        <v>Jun</v>
      </c>
      <c r="O77" s="7" t="str">
        <f t="shared" si="7"/>
        <v>0%</v>
      </c>
    </row>
    <row r="78" spans="1:15">
      <c r="A78" s="7" t="s">
        <v>105</v>
      </c>
      <c r="B78" s="8">
        <v>45344</v>
      </c>
      <c r="C78" s="7" t="s">
        <v>17</v>
      </c>
      <c r="D78" s="7" t="s">
        <v>27</v>
      </c>
      <c r="E78" s="7" t="s">
        <v>31</v>
      </c>
      <c r="F78" s="7">
        <v>1</v>
      </c>
      <c r="G78" s="7">
        <v>245.55</v>
      </c>
      <c r="H78" s="7">
        <v>0</v>
      </c>
      <c r="I78" s="7">
        <v>245.55</v>
      </c>
      <c r="J78" s="7">
        <v>14.25</v>
      </c>
      <c r="K78" s="7" t="s">
        <v>34</v>
      </c>
      <c r="L78" s="9">
        <f t="shared" si="4"/>
        <v>245.55</v>
      </c>
      <c r="M78" s="7">
        <f t="shared" si="5"/>
        <v>231.3</v>
      </c>
      <c r="N78" s="7" t="str">
        <f t="shared" si="6"/>
        <v>Feb</v>
      </c>
      <c r="O78" s="7" t="str">
        <f t="shared" si="7"/>
        <v>0%</v>
      </c>
    </row>
    <row r="79" spans="1:15">
      <c r="A79" s="7" t="s">
        <v>106</v>
      </c>
      <c r="B79" s="8">
        <v>45327</v>
      </c>
      <c r="C79" s="7" t="s">
        <v>17</v>
      </c>
      <c r="D79" s="7" t="s">
        <v>27</v>
      </c>
      <c r="E79" s="7" t="s">
        <v>19</v>
      </c>
      <c r="F79" s="7">
        <v>8</v>
      </c>
      <c r="G79" s="7">
        <v>432.31</v>
      </c>
      <c r="H79" s="7">
        <v>0</v>
      </c>
      <c r="I79" s="7">
        <v>3458.48</v>
      </c>
      <c r="J79" s="7">
        <v>11.97</v>
      </c>
      <c r="K79" s="7" t="s">
        <v>34</v>
      </c>
      <c r="L79" s="9">
        <f t="shared" si="4"/>
        <v>432.31</v>
      </c>
      <c r="M79" s="7">
        <f t="shared" si="5"/>
        <v>3446.51</v>
      </c>
      <c r="N79" s="7" t="str">
        <f t="shared" si="6"/>
        <v>Feb</v>
      </c>
      <c r="O79" s="7" t="str">
        <f t="shared" si="7"/>
        <v>0%</v>
      </c>
    </row>
    <row r="80" spans="1:15">
      <c r="A80" s="7" t="s">
        <v>107</v>
      </c>
      <c r="B80" s="8">
        <v>45617</v>
      </c>
      <c r="C80" s="7" t="s">
        <v>26</v>
      </c>
      <c r="D80" s="7" t="s">
        <v>33</v>
      </c>
      <c r="E80" s="7" t="s">
        <v>23</v>
      </c>
      <c r="F80" s="7">
        <v>5</v>
      </c>
      <c r="G80" s="7">
        <v>38.78</v>
      </c>
      <c r="H80" s="7">
        <v>10</v>
      </c>
      <c r="I80" s="7">
        <v>174.51</v>
      </c>
      <c r="J80" s="7">
        <v>20.59</v>
      </c>
      <c r="K80" s="7" t="s">
        <v>15</v>
      </c>
      <c r="L80" s="9">
        <f t="shared" si="4"/>
        <v>34.9</v>
      </c>
      <c r="M80" s="7">
        <f t="shared" si="5"/>
        <v>153.91999999999999</v>
      </c>
      <c r="N80" s="7" t="str">
        <f t="shared" si="6"/>
        <v>Nov</v>
      </c>
      <c r="O80" s="7" t="str">
        <f t="shared" si="7"/>
        <v>10%</v>
      </c>
    </row>
    <row r="81" spans="1:15">
      <c r="A81" s="7" t="s">
        <v>108</v>
      </c>
      <c r="B81" s="8">
        <v>45539</v>
      </c>
      <c r="C81" s="7" t="s">
        <v>26</v>
      </c>
      <c r="D81" s="7" t="s">
        <v>18</v>
      </c>
      <c r="E81" s="7" t="s">
        <v>31</v>
      </c>
      <c r="F81" s="7">
        <v>4</v>
      </c>
      <c r="G81" s="7">
        <v>95.15</v>
      </c>
      <c r="H81" s="7">
        <v>20</v>
      </c>
      <c r="I81" s="7">
        <v>304.48</v>
      </c>
      <c r="J81" s="7">
        <v>23.5</v>
      </c>
      <c r="K81" s="7" t="s">
        <v>34</v>
      </c>
      <c r="L81" s="9">
        <f t="shared" si="4"/>
        <v>76.12</v>
      </c>
      <c r="M81" s="7">
        <f t="shared" si="5"/>
        <v>280.98</v>
      </c>
      <c r="N81" s="7" t="str">
        <f t="shared" si="6"/>
        <v>Sep</v>
      </c>
      <c r="O81" s="7" t="str">
        <f t="shared" si="7"/>
        <v>20%</v>
      </c>
    </row>
    <row r="82" spans="1:15">
      <c r="A82" s="7" t="s">
        <v>109</v>
      </c>
      <c r="B82" s="8">
        <v>45522</v>
      </c>
      <c r="C82" s="7" t="s">
        <v>12</v>
      </c>
      <c r="D82" s="7" t="s">
        <v>18</v>
      </c>
      <c r="E82" s="7" t="s">
        <v>31</v>
      </c>
      <c r="F82" s="7">
        <v>7</v>
      </c>
      <c r="G82" s="7">
        <v>190.89</v>
      </c>
      <c r="H82" s="7">
        <v>0</v>
      </c>
      <c r="I82" s="7">
        <v>1336.23</v>
      </c>
      <c r="J82" s="7">
        <v>2.66</v>
      </c>
      <c r="K82" s="7" t="s">
        <v>34</v>
      </c>
      <c r="L82" s="9">
        <f t="shared" si="4"/>
        <v>190.89</v>
      </c>
      <c r="M82" s="7">
        <f t="shared" si="5"/>
        <v>1333.57</v>
      </c>
      <c r="N82" s="7" t="str">
        <f t="shared" si="6"/>
        <v>Aug</v>
      </c>
      <c r="O82" s="7" t="str">
        <f t="shared" si="7"/>
        <v>0%</v>
      </c>
    </row>
    <row r="83" spans="1:15">
      <c r="A83" s="7" t="s">
        <v>110</v>
      </c>
      <c r="B83" s="8">
        <v>45385</v>
      </c>
      <c r="C83" s="7" t="s">
        <v>26</v>
      </c>
      <c r="D83" s="7" t="s">
        <v>33</v>
      </c>
      <c r="E83" s="7" t="s">
        <v>14</v>
      </c>
      <c r="F83" s="7">
        <v>6</v>
      </c>
      <c r="G83" s="7">
        <v>734.22</v>
      </c>
      <c r="H83" s="7">
        <v>0</v>
      </c>
      <c r="I83" s="7">
        <v>4405.32</v>
      </c>
      <c r="J83" s="7">
        <v>22.25</v>
      </c>
      <c r="K83" s="7" t="s">
        <v>34</v>
      </c>
      <c r="L83" s="9">
        <f t="shared" si="4"/>
        <v>734.22</v>
      </c>
      <c r="M83" s="7">
        <f t="shared" si="5"/>
        <v>4383.07</v>
      </c>
      <c r="N83" s="7" t="str">
        <f t="shared" si="6"/>
        <v>Apr</v>
      </c>
      <c r="O83" s="7" t="str">
        <f t="shared" si="7"/>
        <v>0%</v>
      </c>
    </row>
    <row r="84" spans="1:15">
      <c r="A84" s="7" t="s">
        <v>111</v>
      </c>
      <c r="B84" s="8">
        <v>45576</v>
      </c>
      <c r="C84" s="7" t="s">
        <v>12</v>
      </c>
      <c r="D84" s="7" t="s">
        <v>22</v>
      </c>
      <c r="E84" s="7" t="s">
        <v>36</v>
      </c>
      <c r="F84" s="7">
        <v>7</v>
      </c>
      <c r="G84" s="7">
        <v>9.7100000000000009</v>
      </c>
      <c r="H84" s="7">
        <v>5</v>
      </c>
      <c r="I84" s="7">
        <v>64.569999999999993</v>
      </c>
      <c r="J84" s="7">
        <v>14.77</v>
      </c>
      <c r="K84" s="7" t="s">
        <v>24</v>
      </c>
      <c r="L84" s="9">
        <f t="shared" si="4"/>
        <v>9.2200000000000006</v>
      </c>
      <c r="M84" s="7">
        <f t="shared" si="5"/>
        <v>49.8</v>
      </c>
      <c r="N84" s="7" t="str">
        <f t="shared" si="6"/>
        <v>Oct</v>
      </c>
      <c r="O84" s="7" t="str">
        <f t="shared" si="7"/>
        <v>5%</v>
      </c>
    </row>
    <row r="85" spans="1:15">
      <c r="A85" s="7" t="s">
        <v>112</v>
      </c>
      <c r="B85" s="8">
        <v>45645</v>
      </c>
      <c r="C85" s="7" t="s">
        <v>26</v>
      </c>
      <c r="D85" s="7" t="s">
        <v>18</v>
      </c>
      <c r="E85" s="7" t="s">
        <v>23</v>
      </c>
      <c r="F85" s="7">
        <v>2</v>
      </c>
      <c r="G85" s="7">
        <v>122.05</v>
      </c>
      <c r="H85" s="7">
        <v>0</v>
      </c>
      <c r="I85" s="7">
        <v>244.1</v>
      </c>
      <c r="J85" s="7">
        <v>7.1</v>
      </c>
      <c r="K85" s="7" t="s">
        <v>24</v>
      </c>
      <c r="L85" s="9">
        <f t="shared" si="4"/>
        <v>122.05</v>
      </c>
      <c r="M85" s="7">
        <f t="shared" si="5"/>
        <v>237</v>
      </c>
      <c r="N85" s="7" t="str">
        <f t="shared" si="6"/>
        <v>Dec</v>
      </c>
      <c r="O85" s="7" t="str">
        <f t="shared" si="7"/>
        <v>0%</v>
      </c>
    </row>
    <row r="86" spans="1:15">
      <c r="A86" s="7" t="s">
        <v>113</v>
      </c>
      <c r="B86" s="8">
        <v>45448</v>
      </c>
      <c r="C86" s="7" t="s">
        <v>17</v>
      </c>
      <c r="D86" s="7" t="s">
        <v>22</v>
      </c>
      <c r="E86" s="7" t="s">
        <v>14</v>
      </c>
      <c r="F86" s="7">
        <v>6</v>
      </c>
      <c r="G86" s="7">
        <v>468.07</v>
      </c>
      <c r="H86" s="7">
        <v>5</v>
      </c>
      <c r="I86" s="7">
        <v>2668</v>
      </c>
      <c r="J86" s="7">
        <v>24.92</v>
      </c>
      <c r="K86" s="7" t="s">
        <v>15</v>
      </c>
      <c r="L86" s="9">
        <f t="shared" si="4"/>
        <v>444.67</v>
      </c>
      <c r="M86" s="7">
        <f t="shared" si="5"/>
        <v>2643.08</v>
      </c>
      <c r="N86" s="7" t="str">
        <f t="shared" si="6"/>
        <v>Jun</v>
      </c>
      <c r="O86" s="7" t="str">
        <f t="shared" si="7"/>
        <v>5%</v>
      </c>
    </row>
    <row r="87" spans="1:15">
      <c r="A87" s="7" t="s">
        <v>114</v>
      </c>
      <c r="B87" s="8">
        <v>45461</v>
      </c>
      <c r="C87" s="7" t="s">
        <v>26</v>
      </c>
      <c r="D87" s="7" t="s">
        <v>18</v>
      </c>
      <c r="E87" s="7" t="s">
        <v>14</v>
      </c>
      <c r="F87" s="7">
        <v>4</v>
      </c>
      <c r="G87" s="7">
        <v>331.43</v>
      </c>
      <c r="H87" s="7">
        <v>0</v>
      </c>
      <c r="I87" s="7">
        <v>1325.72</v>
      </c>
      <c r="J87" s="7">
        <v>18.59</v>
      </c>
      <c r="K87" s="7" t="s">
        <v>34</v>
      </c>
      <c r="L87" s="9">
        <f t="shared" si="4"/>
        <v>331.43</v>
      </c>
      <c r="M87" s="7">
        <f t="shared" si="5"/>
        <v>1307.1300000000001</v>
      </c>
      <c r="N87" s="7" t="str">
        <f t="shared" si="6"/>
        <v>Jun</v>
      </c>
      <c r="O87" s="7" t="str">
        <f t="shared" si="7"/>
        <v>0%</v>
      </c>
    </row>
    <row r="88" spans="1:15">
      <c r="A88" s="7" t="s">
        <v>115</v>
      </c>
      <c r="B88" s="8">
        <v>45353</v>
      </c>
      <c r="C88" s="7" t="s">
        <v>17</v>
      </c>
      <c r="D88" s="7" t="s">
        <v>22</v>
      </c>
      <c r="E88" s="7" t="s">
        <v>36</v>
      </c>
      <c r="F88" s="7">
        <v>8</v>
      </c>
      <c r="G88" s="7">
        <v>15.53</v>
      </c>
      <c r="H88" s="7">
        <v>0</v>
      </c>
      <c r="I88" s="7">
        <v>124.24</v>
      </c>
      <c r="J88" s="7">
        <v>18.670000000000002</v>
      </c>
      <c r="K88" s="7" t="s">
        <v>15</v>
      </c>
      <c r="L88" s="9">
        <f t="shared" si="4"/>
        <v>15.53</v>
      </c>
      <c r="M88" s="7">
        <f t="shared" si="5"/>
        <v>105.57</v>
      </c>
      <c r="N88" s="7" t="str">
        <f t="shared" si="6"/>
        <v>Mar</v>
      </c>
      <c r="O88" s="7" t="str">
        <f t="shared" si="7"/>
        <v>0%</v>
      </c>
    </row>
    <row r="89" spans="1:15">
      <c r="A89" s="7" t="s">
        <v>116</v>
      </c>
      <c r="B89" s="8">
        <v>45597</v>
      </c>
      <c r="C89" s="7" t="s">
        <v>26</v>
      </c>
      <c r="D89" s="7" t="s">
        <v>13</v>
      </c>
      <c r="E89" s="7" t="s">
        <v>36</v>
      </c>
      <c r="F89" s="7">
        <v>6</v>
      </c>
      <c r="G89" s="7">
        <v>21.29</v>
      </c>
      <c r="H89" s="7">
        <v>0</v>
      </c>
      <c r="I89" s="7">
        <v>127.74</v>
      </c>
      <c r="J89" s="7">
        <v>8.9499999999999993</v>
      </c>
      <c r="K89" s="7" t="s">
        <v>15</v>
      </c>
      <c r="L89" s="9">
        <f t="shared" si="4"/>
        <v>21.29</v>
      </c>
      <c r="M89" s="7">
        <f t="shared" si="5"/>
        <v>118.79</v>
      </c>
      <c r="N89" s="7" t="str">
        <f t="shared" si="6"/>
        <v>Nov</v>
      </c>
      <c r="O89" s="7" t="str">
        <f t="shared" si="7"/>
        <v>0%</v>
      </c>
    </row>
    <row r="90" spans="1:15">
      <c r="A90" s="7" t="s">
        <v>117</v>
      </c>
      <c r="B90" s="8">
        <v>45356</v>
      </c>
      <c r="C90" s="7" t="s">
        <v>26</v>
      </c>
      <c r="D90" s="7" t="s">
        <v>13</v>
      </c>
      <c r="E90" s="7" t="s">
        <v>19</v>
      </c>
      <c r="F90" s="7">
        <v>3</v>
      </c>
      <c r="G90" s="7">
        <v>299.01</v>
      </c>
      <c r="H90" s="7">
        <v>15</v>
      </c>
      <c r="I90" s="7">
        <v>762.48</v>
      </c>
      <c r="J90" s="7">
        <v>21.97</v>
      </c>
      <c r="K90" s="7" t="s">
        <v>29</v>
      </c>
      <c r="L90" s="9">
        <f t="shared" si="4"/>
        <v>254.16</v>
      </c>
      <c r="M90" s="7">
        <f t="shared" si="5"/>
        <v>740.51</v>
      </c>
      <c r="N90" s="7" t="str">
        <f t="shared" si="6"/>
        <v>Mar</v>
      </c>
      <c r="O90" s="7" t="str">
        <f t="shared" si="7"/>
        <v>15%</v>
      </c>
    </row>
    <row r="91" spans="1:15">
      <c r="A91" s="7" t="s">
        <v>118</v>
      </c>
      <c r="B91" s="8">
        <v>45344</v>
      </c>
      <c r="C91" s="7" t="s">
        <v>12</v>
      </c>
      <c r="D91" s="7" t="s">
        <v>22</v>
      </c>
      <c r="E91" s="7" t="s">
        <v>14</v>
      </c>
      <c r="F91" s="7">
        <v>8</v>
      </c>
      <c r="G91" s="7">
        <v>464.91</v>
      </c>
      <c r="H91" s="7">
        <v>0</v>
      </c>
      <c r="I91" s="7">
        <v>3719.28</v>
      </c>
      <c r="J91" s="7">
        <v>6.24</v>
      </c>
      <c r="K91" s="7" t="s">
        <v>20</v>
      </c>
      <c r="L91" s="9">
        <f t="shared" si="4"/>
        <v>464.91</v>
      </c>
      <c r="M91" s="7">
        <f t="shared" si="5"/>
        <v>3713.04</v>
      </c>
      <c r="N91" s="7" t="str">
        <f t="shared" si="6"/>
        <v>Feb</v>
      </c>
      <c r="O91" s="7" t="str">
        <f t="shared" si="7"/>
        <v>0%</v>
      </c>
    </row>
    <row r="92" spans="1:15">
      <c r="A92" s="7" t="s">
        <v>119</v>
      </c>
      <c r="B92" s="8">
        <v>45421</v>
      </c>
      <c r="C92" s="7" t="s">
        <v>26</v>
      </c>
      <c r="D92" s="7" t="s">
        <v>13</v>
      </c>
      <c r="E92" s="7" t="s">
        <v>19</v>
      </c>
      <c r="F92" s="7">
        <v>2</v>
      </c>
      <c r="G92" s="7">
        <v>230.32</v>
      </c>
      <c r="H92" s="7">
        <v>10</v>
      </c>
      <c r="I92" s="7">
        <v>414.58</v>
      </c>
      <c r="J92" s="7">
        <v>16.48</v>
      </c>
      <c r="K92" s="7" t="s">
        <v>20</v>
      </c>
      <c r="L92" s="9">
        <f t="shared" si="4"/>
        <v>207.29</v>
      </c>
      <c r="M92" s="7">
        <f t="shared" si="5"/>
        <v>398.1</v>
      </c>
      <c r="N92" s="7" t="str">
        <f t="shared" si="6"/>
        <v>May</v>
      </c>
      <c r="O92" s="7" t="str">
        <f t="shared" si="7"/>
        <v>10%</v>
      </c>
    </row>
    <row r="93" spans="1:15">
      <c r="A93" s="7" t="s">
        <v>120</v>
      </c>
      <c r="B93" s="8">
        <v>45369</v>
      </c>
      <c r="C93" s="7" t="s">
        <v>12</v>
      </c>
      <c r="D93" s="7" t="s">
        <v>22</v>
      </c>
      <c r="E93" s="7" t="s">
        <v>14</v>
      </c>
      <c r="F93" s="7">
        <v>4</v>
      </c>
      <c r="G93" s="7">
        <v>149.85</v>
      </c>
      <c r="H93" s="7">
        <v>0</v>
      </c>
      <c r="I93" s="7">
        <v>599.4</v>
      </c>
      <c r="J93" s="7">
        <v>14.84</v>
      </c>
      <c r="K93" s="7" t="s">
        <v>29</v>
      </c>
      <c r="L93" s="9">
        <f t="shared" si="4"/>
        <v>149.85</v>
      </c>
      <c r="M93" s="7">
        <f t="shared" si="5"/>
        <v>584.55999999999995</v>
      </c>
      <c r="N93" s="7" t="str">
        <f t="shared" si="6"/>
        <v>Mar</v>
      </c>
      <c r="O93" s="7" t="str">
        <f t="shared" si="7"/>
        <v>0%</v>
      </c>
    </row>
    <row r="94" spans="1:15">
      <c r="A94" s="7" t="s">
        <v>121</v>
      </c>
      <c r="B94" s="8">
        <v>45602</v>
      </c>
      <c r="C94" s="7" t="s">
        <v>17</v>
      </c>
      <c r="D94" s="7" t="s">
        <v>22</v>
      </c>
      <c r="E94" s="7" t="s">
        <v>36</v>
      </c>
      <c r="F94" s="7">
        <v>7</v>
      </c>
      <c r="G94" s="7">
        <v>47.66</v>
      </c>
      <c r="H94" s="7">
        <v>5</v>
      </c>
      <c r="I94" s="7">
        <v>316.94</v>
      </c>
      <c r="J94" s="7">
        <v>22.9</v>
      </c>
      <c r="K94" s="7" t="s">
        <v>34</v>
      </c>
      <c r="L94" s="9">
        <f t="shared" si="4"/>
        <v>45.28</v>
      </c>
      <c r="M94" s="7">
        <f t="shared" si="5"/>
        <v>294.04000000000002</v>
      </c>
      <c r="N94" s="7" t="str">
        <f t="shared" si="6"/>
        <v>Nov</v>
      </c>
      <c r="O94" s="7" t="str">
        <f t="shared" si="7"/>
        <v>5%</v>
      </c>
    </row>
    <row r="95" spans="1:15">
      <c r="A95" s="7" t="s">
        <v>122</v>
      </c>
      <c r="B95" s="8">
        <v>45593</v>
      </c>
      <c r="C95" s="7" t="s">
        <v>26</v>
      </c>
      <c r="D95" s="7" t="s">
        <v>27</v>
      </c>
      <c r="E95" s="7" t="s">
        <v>31</v>
      </c>
      <c r="F95" s="7">
        <v>2</v>
      </c>
      <c r="G95" s="7">
        <v>193.89</v>
      </c>
      <c r="H95" s="7">
        <v>20</v>
      </c>
      <c r="I95" s="7">
        <v>310.22000000000003</v>
      </c>
      <c r="J95" s="7">
        <v>6.78</v>
      </c>
      <c r="K95" s="7" t="s">
        <v>24</v>
      </c>
      <c r="L95" s="9">
        <f t="shared" si="4"/>
        <v>155.11000000000001</v>
      </c>
      <c r="M95" s="7">
        <f t="shared" si="5"/>
        <v>303.44</v>
      </c>
      <c r="N95" s="7" t="str">
        <f t="shared" si="6"/>
        <v>Oct</v>
      </c>
      <c r="O95" s="7" t="str">
        <f t="shared" si="7"/>
        <v>20%</v>
      </c>
    </row>
    <row r="96" spans="1:15">
      <c r="A96" s="7" t="s">
        <v>123</v>
      </c>
      <c r="B96" s="8">
        <v>45427</v>
      </c>
      <c r="C96" s="7" t="s">
        <v>17</v>
      </c>
      <c r="D96" s="7" t="s">
        <v>13</v>
      </c>
      <c r="E96" s="7" t="s">
        <v>36</v>
      </c>
      <c r="F96" s="7">
        <v>2</v>
      </c>
      <c r="G96" s="7">
        <v>18.190000000000001</v>
      </c>
      <c r="H96" s="7">
        <v>0</v>
      </c>
      <c r="I96" s="7">
        <v>36.380000000000003</v>
      </c>
      <c r="J96" s="7">
        <v>2.06</v>
      </c>
      <c r="K96" s="7" t="s">
        <v>29</v>
      </c>
      <c r="L96" s="9">
        <f t="shared" si="4"/>
        <v>18.190000000000001</v>
      </c>
      <c r="M96" s="7">
        <f t="shared" si="5"/>
        <v>34.32</v>
      </c>
      <c r="N96" s="7" t="str">
        <f t="shared" si="6"/>
        <v>May</v>
      </c>
      <c r="O96" s="7" t="str">
        <f t="shared" si="7"/>
        <v>0%</v>
      </c>
    </row>
    <row r="97" spans="1:15">
      <c r="A97" s="7" t="s">
        <v>124</v>
      </c>
      <c r="B97" s="8">
        <v>45644</v>
      </c>
      <c r="C97" s="7" t="s">
        <v>17</v>
      </c>
      <c r="D97" s="7" t="s">
        <v>18</v>
      </c>
      <c r="E97" s="7" t="s">
        <v>14</v>
      </c>
      <c r="F97" s="7">
        <v>5</v>
      </c>
      <c r="G97" s="7">
        <v>106.76</v>
      </c>
      <c r="H97" s="7">
        <v>15</v>
      </c>
      <c r="I97" s="7">
        <v>453.73</v>
      </c>
      <c r="J97" s="7">
        <v>8.5</v>
      </c>
      <c r="K97" s="7" t="s">
        <v>29</v>
      </c>
      <c r="L97" s="9">
        <f t="shared" si="4"/>
        <v>90.75</v>
      </c>
      <c r="M97" s="7">
        <f t="shared" si="5"/>
        <v>445.23</v>
      </c>
      <c r="N97" s="7" t="str">
        <f t="shared" si="6"/>
        <v>Dec</v>
      </c>
      <c r="O97" s="7" t="str">
        <f t="shared" si="7"/>
        <v>15%</v>
      </c>
    </row>
    <row r="98" spans="1:15">
      <c r="A98" s="7" t="s">
        <v>125</v>
      </c>
      <c r="B98" s="8">
        <v>45328</v>
      </c>
      <c r="C98" s="7" t="s">
        <v>17</v>
      </c>
      <c r="D98" s="7" t="s">
        <v>33</v>
      </c>
      <c r="E98" s="7" t="s">
        <v>14</v>
      </c>
      <c r="F98" s="7">
        <v>4</v>
      </c>
      <c r="G98" s="7">
        <v>726.02</v>
      </c>
      <c r="H98" s="7">
        <v>5</v>
      </c>
      <c r="I98" s="7">
        <v>2758.88</v>
      </c>
      <c r="J98" s="7">
        <v>4.6399999999999997</v>
      </c>
      <c r="K98" s="7" t="s">
        <v>24</v>
      </c>
      <c r="L98" s="9">
        <f t="shared" si="4"/>
        <v>689.72</v>
      </c>
      <c r="M98" s="7">
        <f t="shared" si="5"/>
        <v>2754.24</v>
      </c>
      <c r="N98" s="7" t="str">
        <f t="shared" si="6"/>
        <v>Feb</v>
      </c>
      <c r="O98" s="7" t="str">
        <f t="shared" si="7"/>
        <v>5%</v>
      </c>
    </row>
    <row r="99" spans="1:15">
      <c r="A99" s="7" t="s">
        <v>126</v>
      </c>
      <c r="B99" s="8">
        <v>45623</v>
      </c>
      <c r="C99" s="7" t="s">
        <v>12</v>
      </c>
      <c r="D99" s="7" t="s">
        <v>27</v>
      </c>
      <c r="E99" s="7" t="s">
        <v>36</v>
      </c>
      <c r="F99" s="7">
        <v>3</v>
      </c>
      <c r="G99" s="7">
        <v>8.93</v>
      </c>
      <c r="H99" s="7">
        <v>20</v>
      </c>
      <c r="I99" s="7">
        <v>21.43</v>
      </c>
      <c r="J99" s="7">
        <v>9.08</v>
      </c>
      <c r="K99" s="7" t="s">
        <v>15</v>
      </c>
      <c r="L99" s="9">
        <f t="shared" si="4"/>
        <v>7.14</v>
      </c>
      <c r="M99" s="7">
        <f t="shared" si="5"/>
        <v>12.35</v>
      </c>
      <c r="N99" s="7" t="str">
        <f t="shared" si="6"/>
        <v>Nov</v>
      </c>
      <c r="O99" s="7" t="str">
        <f t="shared" si="7"/>
        <v>20%</v>
      </c>
    </row>
    <row r="100" spans="1:15">
      <c r="A100" s="7" t="s">
        <v>127</v>
      </c>
      <c r="B100" s="8">
        <v>45439</v>
      </c>
      <c r="C100" s="7" t="s">
        <v>26</v>
      </c>
      <c r="D100" s="7" t="s">
        <v>13</v>
      </c>
      <c r="E100" s="7" t="s">
        <v>23</v>
      </c>
      <c r="F100" s="7">
        <v>7</v>
      </c>
      <c r="G100" s="7">
        <v>107.97</v>
      </c>
      <c r="H100" s="7">
        <v>0</v>
      </c>
      <c r="I100" s="7">
        <v>755.79</v>
      </c>
      <c r="J100" s="7">
        <v>13.51</v>
      </c>
      <c r="K100" s="7" t="s">
        <v>29</v>
      </c>
      <c r="L100" s="9">
        <f t="shared" si="4"/>
        <v>107.97</v>
      </c>
      <c r="M100" s="7">
        <f t="shared" si="5"/>
        <v>742.28</v>
      </c>
      <c r="N100" s="7" t="str">
        <f t="shared" si="6"/>
        <v>May</v>
      </c>
      <c r="O100" s="7" t="str">
        <f t="shared" si="7"/>
        <v>0%</v>
      </c>
    </row>
    <row r="101" spans="1:15">
      <c r="A101" s="7" t="s">
        <v>128</v>
      </c>
      <c r="B101" s="8">
        <v>45516</v>
      </c>
      <c r="C101" s="7" t="s">
        <v>12</v>
      </c>
      <c r="D101" s="7" t="s">
        <v>22</v>
      </c>
      <c r="E101" s="7" t="s">
        <v>19</v>
      </c>
      <c r="F101" s="7">
        <v>6</v>
      </c>
      <c r="G101" s="7">
        <v>450.24</v>
      </c>
      <c r="H101" s="7">
        <v>10</v>
      </c>
      <c r="I101" s="7">
        <v>2431.3000000000002</v>
      </c>
      <c r="J101" s="7">
        <v>7.76</v>
      </c>
      <c r="K101" s="7" t="s">
        <v>20</v>
      </c>
      <c r="L101" s="9">
        <f t="shared" si="4"/>
        <v>405.22</v>
      </c>
      <c r="M101" s="7">
        <f t="shared" si="5"/>
        <v>2423.54</v>
      </c>
      <c r="N101" s="7" t="str">
        <f t="shared" si="6"/>
        <v>Aug</v>
      </c>
      <c r="O101" s="7" t="str">
        <f t="shared" si="7"/>
        <v>10%</v>
      </c>
    </row>
    <row r="102" spans="1:15">
      <c r="A102" s="7" t="s">
        <v>129</v>
      </c>
      <c r="B102" s="8">
        <v>45409</v>
      </c>
      <c r="C102" s="7" t="s">
        <v>17</v>
      </c>
      <c r="D102" s="7" t="s">
        <v>22</v>
      </c>
      <c r="E102" s="7" t="s">
        <v>31</v>
      </c>
      <c r="F102" s="7">
        <v>5</v>
      </c>
      <c r="G102" s="7">
        <v>286.22000000000003</v>
      </c>
      <c r="H102" s="7">
        <v>10</v>
      </c>
      <c r="I102" s="7">
        <v>1287.99</v>
      </c>
      <c r="J102" s="7">
        <v>2.93</v>
      </c>
      <c r="K102" s="7" t="s">
        <v>24</v>
      </c>
      <c r="L102" s="9">
        <f t="shared" si="4"/>
        <v>257.60000000000002</v>
      </c>
      <c r="M102" s="7">
        <f t="shared" si="5"/>
        <v>1285.06</v>
      </c>
      <c r="N102" s="7" t="str">
        <f t="shared" si="6"/>
        <v>Apr</v>
      </c>
      <c r="O102" s="7" t="str">
        <f t="shared" si="7"/>
        <v>10%</v>
      </c>
    </row>
    <row r="103" spans="1:15">
      <c r="A103" s="7" t="s">
        <v>130</v>
      </c>
      <c r="B103" s="8">
        <v>45532</v>
      </c>
      <c r="C103" s="7" t="s">
        <v>17</v>
      </c>
      <c r="D103" s="7" t="s">
        <v>18</v>
      </c>
      <c r="E103" s="7" t="s">
        <v>14</v>
      </c>
      <c r="F103" s="7">
        <v>7</v>
      </c>
      <c r="G103" s="7">
        <v>228.82</v>
      </c>
      <c r="H103" s="7">
        <v>15</v>
      </c>
      <c r="I103" s="7">
        <v>1361.48</v>
      </c>
      <c r="J103" s="7">
        <v>20.73</v>
      </c>
      <c r="K103" s="7" t="s">
        <v>20</v>
      </c>
      <c r="L103" s="9">
        <f t="shared" si="4"/>
        <v>194.5</v>
      </c>
      <c r="M103" s="7">
        <f t="shared" si="5"/>
        <v>1340.75</v>
      </c>
      <c r="N103" s="7" t="str">
        <f t="shared" si="6"/>
        <v>Aug</v>
      </c>
      <c r="O103" s="7" t="str">
        <f t="shared" si="7"/>
        <v>15%</v>
      </c>
    </row>
    <row r="104" spans="1:15">
      <c r="A104" s="7" t="s">
        <v>131</v>
      </c>
      <c r="B104" s="8">
        <v>45532</v>
      </c>
      <c r="C104" s="7" t="s">
        <v>26</v>
      </c>
      <c r="D104" s="7" t="s">
        <v>18</v>
      </c>
      <c r="E104" s="7" t="s">
        <v>14</v>
      </c>
      <c r="F104" s="7">
        <v>2</v>
      </c>
      <c r="G104" s="7">
        <v>343.27</v>
      </c>
      <c r="H104" s="7">
        <v>20</v>
      </c>
      <c r="I104" s="7">
        <v>549.23</v>
      </c>
      <c r="J104" s="7">
        <v>5.7</v>
      </c>
      <c r="K104" s="7" t="s">
        <v>29</v>
      </c>
      <c r="L104" s="9">
        <f t="shared" si="4"/>
        <v>274.62</v>
      </c>
      <c r="M104" s="7">
        <f t="shared" si="5"/>
        <v>543.53</v>
      </c>
      <c r="N104" s="7" t="str">
        <f t="shared" si="6"/>
        <v>Aug</v>
      </c>
      <c r="O104" s="7" t="str">
        <f t="shared" si="7"/>
        <v>20%</v>
      </c>
    </row>
    <row r="105" spans="1:15">
      <c r="A105" s="7" t="s">
        <v>132</v>
      </c>
      <c r="B105" s="8">
        <v>45647</v>
      </c>
      <c r="C105" s="7" t="s">
        <v>26</v>
      </c>
      <c r="D105" s="7" t="s">
        <v>27</v>
      </c>
      <c r="E105" s="7" t="s">
        <v>23</v>
      </c>
      <c r="F105" s="7">
        <v>1</v>
      </c>
      <c r="G105" s="7">
        <v>124.83</v>
      </c>
      <c r="H105" s="7">
        <v>5</v>
      </c>
      <c r="I105" s="7">
        <v>118.59</v>
      </c>
      <c r="J105" s="7">
        <v>4.03</v>
      </c>
      <c r="K105" s="7" t="s">
        <v>34</v>
      </c>
      <c r="L105" s="9">
        <f t="shared" si="4"/>
        <v>118.59</v>
      </c>
      <c r="M105" s="7">
        <f t="shared" si="5"/>
        <v>114.56</v>
      </c>
      <c r="N105" s="7" t="str">
        <f t="shared" si="6"/>
        <v>Dec</v>
      </c>
      <c r="O105" s="7" t="str">
        <f t="shared" si="7"/>
        <v>5%</v>
      </c>
    </row>
    <row r="106" spans="1:15">
      <c r="A106" s="7" t="s">
        <v>133</v>
      </c>
      <c r="B106" s="8">
        <v>45457</v>
      </c>
      <c r="C106" s="7" t="s">
        <v>12</v>
      </c>
      <c r="D106" s="7" t="s">
        <v>18</v>
      </c>
      <c r="E106" s="7" t="s">
        <v>31</v>
      </c>
      <c r="F106" s="7">
        <v>1</v>
      </c>
      <c r="G106" s="7">
        <v>250.98</v>
      </c>
      <c r="H106" s="7">
        <v>15</v>
      </c>
      <c r="I106" s="7">
        <v>213.33</v>
      </c>
      <c r="J106" s="7">
        <v>22</v>
      </c>
      <c r="K106" s="7" t="s">
        <v>29</v>
      </c>
      <c r="L106" s="9">
        <f t="shared" si="4"/>
        <v>213.33</v>
      </c>
      <c r="M106" s="7">
        <f t="shared" si="5"/>
        <v>191.33</v>
      </c>
      <c r="N106" s="7" t="str">
        <f t="shared" si="6"/>
        <v>Jun</v>
      </c>
      <c r="O106" s="7" t="str">
        <f t="shared" si="7"/>
        <v>15%</v>
      </c>
    </row>
    <row r="107" spans="1:15">
      <c r="A107" s="7" t="s">
        <v>134</v>
      </c>
      <c r="B107" s="8">
        <v>45503</v>
      </c>
      <c r="C107" s="7" t="s">
        <v>12</v>
      </c>
      <c r="D107" s="7" t="s">
        <v>33</v>
      </c>
      <c r="E107" s="7" t="s">
        <v>31</v>
      </c>
      <c r="F107" s="7">
        <v>8</v>
      </c>
      <c r="G107" s="7">
        <v>121.3</v>
      </c>
      <c r="H107" s="7">
        <v>15</v>
      </c>
      <c r="I107" s="7">
        <v>824.84</v>
      </c>
      <c r="J107" s="7">
        <v>12.17</v>
      </c>
      <c r="K107" s="7" t="s">
        <v>20</v>
      </c>
      <c r="L107" s="9">
        <f t="shared" si="4"/>
        <v>103.11</v>
      </c>
      <c r="M107" s="7">
        <f t="shared" si="5"/>
        <v>812.67</v>
      </c>
      <c r="N107" s="7" t="str">
        <f t="shared" si="6"/>
        <v>Jul</v>
      </c>
      <c r="O107" s="7" t="str">
        <f t="shared" si="7"/>
        <v>15%</v>
      </c>
    </row>
    <row r="108" spans="1:15">
      <c r="A108" s="7" t="s">
        <v>135</v>
      </c>
      <c r="B108" s="8">
        <v>45396</v>
      </c>
      <c r="C108" s="7" t="s">
        <v>26</v>
      </c>
      <c r="D108" s="7" t="s">
        <v>22</v>
      </c>
      <c r="E108" s="7" t="s">
        <v>36</v>
      </c>
      <c r="F108" s="7">
        <v>8</v>
      </c>
      <c r="G108" s="7">
        <v>56.02</v>
      </c>
      <c r="H108" s="7">
        <v>15</v>
      </c>
      <c r="I108" s="7">
        <v>380.94</v>
      </c>
      <c r="J108" s="7">
        <v>13.15</v>
      </c>
      <c r="K108" s="7" t="s">
        <v>20</v>
      </c>
      <c r="L108" s="9">
        <f t="shared" si="4"/>
        <v>47.62</v>
      </c>
      <c r="M108" s="7">
        <f t="shared" si="5"/>
        <v>367.79</v>
      </c>
      <c r="N108" s="7" t="str">
        <f t="shared" si="6"/>
        <v>Apr</v>
      </c>
      <c r="O108" s="7" t="str">
        <f t="shared" si="7"/>
        <v>15%</v>
      </c>
    </row>
    <row r="109" spans="1:15">
      <c r="A109" s="7" t="s">
        <v>136</v>
      </c>
      <c r="B109" s="8">
        <v>45614</v>
      </c>
      <c r="C109" s="7" t="s">
        <v>17</v>
      </c>
      <c r="D109" s="7" t="s">
        <v>33</v>
      </c>
      <c r="E109" s="7" t="s">
        <v>36</v>
      </c>
      <c r="F109" s="7">
        <v>1</v>
      </c>
      <c r="G109" s="7">
        <v>22.09</v>
      </c>
      <c r="H109" s="7">
        <v>10</v>
      </c>
      <c r="I109" s="7">
        <v>19.88</v>
      </c>
      <c r="J109" s="7">
        <v>11.38</v>
      </c>
      <c r="K109" s="7" t="s">
        <v>24</v>
      </c>
      <c r="L109" s="9">
        <f t="shared" si="4"/>
        <v>19.88</v>
      </c>
      <c r="M109" s="7">
        <f t="shared" si="5"/>
        <v>8.5</v>
      </c>
      <c r="N109" s="7" t="str">
        <f t="shared" si="6"/>
        <v>Nov</v>
      </c>
      <c r="O109" s="7" t="str">
        <f t="shared" si="7"/>
        <v>10%</v>
      </c>
    </row>
    <row r="110" spans="1:15">
      <c r="A110" s="7" t="s">
        <v>137</v>
      </c>
      <c r="B110" s="8">
        <v>45350</v>
      </c>
      <c r="C110" s="7" t="s">
        <v>26</v>
      </c>
      <c r="D110" s="7" t="s">
        <v>13</v>
      </c>
      <c r="E110" s="7" t="s">
        <v>36</v>
      </c>
      <c r="F110" s="7">
        <v>5</v>
      </c>
      <c r="G110" s="7">
        <v>32.409999999999997</v>
      </c>
      <c r="H110" s="7">
        <v>10</v>
      </c>
      <c r="I110" s="7">
        <v>145.85</v>
      </c>
      <c r="J110" s="7">
        <v>18.22</v>
      </c>
      <c r="K110" s="7" t="s">
        <v>29</v>
      </c>
      <c r="L110" s="9">
        <f t="shared" si="4"/>
        <v>29.17</v>
      </c>
      <c r="M110" s="7">
        <f t="shared" si="5"/>
        <v>127.63</v>
      </c>
      <c r="N110" s="7" t="str">
        <f t="shared" si="6"/>
        <v>Feb</v>
      </c>
      <c r="O110" s="7" t="str">
        <f t="shared" si="7"/>
        <v>10%</v>
      </c>
    </row>
    <row r="111" spans="1:15">
      <c r="A111" s="7" t="s">
        <v>138</v>
      </c>
      <c r="B111" s="8">
        <v>45539</v>
      </c>
      <c r="C111" s="7" t="s">
        <v>26</v>
      </c>
      <c r="D111" s="7" t="s">
        <v>33</v>
      </c>
      <c r="E111" s="7" t="s">
        <v>23</v>
      </c>
      <c r="F111" s="7">
        <v>7</v>
      </c>
      <c r="G111" s="7">
        <v>89.42</v>
      </c>
      <c r="H111" s="7">
        <v>0</v>
      </c>
      <c r="I111" s="7">
        <v>625.94000000000005</v>
      </c>
      <c r="J111" s="7">
        <v>23.2</v>
      </c>
      <c r="K111" s="7" t="s">
        <v>15</v>
      </c>
      <c r="L111" s="9">
        <f t="shared" si="4"/>
        <v>89.42</v>
      </c>
      <c r="M111" s="7">
        <f t="shared" si="5"/>
        <v>602.74</v>
      </c>
      <c r="N111" s="7" t="str">
        <f t="shared" si="6"/>
        <v>Sep</v>
      </c>
      <c r="O111" s="7" t="str">
        <f t="shared" si="7"/>
        <v>0%</v>
      </c>
    </row>
    <row r="112" spans="1:15">
      <c r="A112" s="7" t="s">
        <v>139</v>
      </c>
      <c r="B112" s="8">
        <v>45361</v>
      </c>
      <c r="C112" s="7" t="s">
        <v>12</v>
      </c>
      <c r="D112" s="7" t="s">
        <v>27</v>
      </c>
      <c r="E112" s="7" t="s">
        <v>23</v>
      </c>
      <c r="F112" s="7">
        <v>5</v>
      </c>
      <c r="G112" s="7">
        <v>60.88</v>
      </c>
      <c r="H112" s="7">
        <v>20</v>
      </c>
      <c r="I112" s="7">
        <v>243.52</v>
      </c>
      <c r="J112" s="7">
        <v>2.06</v>
      </c>
      <c r="K112" s="7" t="s">
        <v>34</v>
      </c>
      <c r="L112" s="9">
        <f t="shared" si="4"/>
        <v>48.7</v>
      </c>
      <c r="M112" s="7">
        <f t="shared" si="5"/>
        <v>241.46</v>
      </c>
      <c r="N112" s="7" t="str">
        <f t="shared" si="6"/>
        <v>Mar</v>
      </c>
      <c r="O112" s="7" t="str">
        <f t="shared" si="7"/>
        <v>20%</v>
      </c>
    </row>
    <row r="113" spans="1:15">
      <c r="A113" s="7" t="s">
        <v>140</v>
      </c>
      <c r="B113" s="8">
        <v>45592</v>
      </c>
      <c r="C113" s="7" t="s">
        <v>17</v>
      </c>
      <c r="D113" s="7" t="s">
        <v>18</v>
      </c>
      <c r="E113" s="7" t="s">
        <v>36</v>
      </c>
      <c r="F113" s="7">
        <v>8</v>
      </c>
      <c r="G113" s="7">
        <v>29.56</v>
      </c>
      <c r="H113" s="7">
        <v>0</v>
      </c>
      <c r="I113" s="7">
        <v>236.48</v>
      </c>
      <c r="J113" s="7">
        <v>9.65</v>
      </c>
      <c r="K113" s="7" t="s">
        <v>15</v>
      </c>
      <c r="L113" s="9">
        <f t="shared" si="4"/>
        <v>29.56</v>
      </c>
      <c r="M113" s="7">
        <f t="shared" si="5"/>
        <v>226.83</v>
      </c>
      <c r="N113" s="7" t="str">
        <f t="shared" si="6"/>
        <v>Oct</v>
      </c>
      <c r="O113" s="7" t="str">
        <f t="shared" si="7"/>
        <v>0%</v>
      </c>
    </row>
    <row r="114" spans="1:15">
      <c r="A114" s="7" t="s">
        <v>141</v>
      </c>
      <c r="B114" s="8">
        <v>45485</v>
      </c>
      <c r="C114" s="7" t="s">
        <v>26</v>
      </c>
      <c r="D114" s="7" t="s">
        <v>27</v>
      </c>
      <c r="E114" s="7" t="s">
        <v>36</v>
      </c>
      <c r="F114" s="7">
        <v>4</v>
      </c>
      <c r="G114" s="7">
        <v>58.94</v>
      </c>
      <c r="H114" s="7">
        <v>10</v>
      </c>
      <c r="I114" s="7">
        <v>212.18</v>
      </c>
      <c r="J114" s="7">
        <v>10.81</v>
      </c>
      <c r="K114" s="7" t="s">
        <v>29</v>
      </c>
      <c r="L114" s="9">
        <f t="shared" si="4"/>
        <v>53.05</v>
      </c>
      <c r="M114" s="7">
        <f t="shared" si="5"/>
        <v>201.37</v>
      </c>
      <c r="N114" s="7" t="str">
        <f t="shared" si="6"/>
        <v>Jul</v>
      </c>
      <c r="O114" s="7" t="str">
        <f t="shared" si="7"/>
        <v>10%</v>
      </c>
    </row>
    <row r="115" spans="1:15">
      <c r="A115" s="7" t="s">
        <v>142</v>
      </c>
      <c r="B115" s="8">
        <v>45314</v>
      </c>
      <c r="C115" s="7" t="s">
        <v>26</v>
      </c>
      <c r="D115" s="7" t="s">
        <v>18</v>
      </c>
      <c r="E115" s="7" t="s">
        <v>23</v>
      </c>
      <c r="F115" s="7">
        <v>3</v>
      </c>
      <c r="G115" s="7">
        <v>67.12</v>
      </c>
      <c r="H115" s="7">
        <v>5</v>
      </c>
      <c r="I115" s="7">
        <v>191.29</v>
      </c>
      <c r="J115" s="7">
        <v>24.19</v>
      </c>
      <c r="K115" s="7" t="s">
        <v>24</v>
      </c>
      <c r="L115" s="9">
        <f t="shared" si="4"/>
        <v>63.76</v>
      </c>
      <c r="M115" s="7">
        <f t="shared" si="5"/>
        <v>167.1</v>
      </c>
      <c r="N115" s="7" t="str">
        <f t="shared" si="6"/>
        <v>Jan</v>
      </c>
      <c r="O115" s="7" t="str">
        <f t="shared" si="7"/>
        <v>5%</v>
      </c>
    </row>
    <row r="116" spans="1:15">
      <c r="A116" s="7" t="s">
        <v>143</v>
      </c>
      <c r="B116" s="8">
        <v>45549</v>
      </c>
      <c r="C116" s="7" t="s">
        <v>17</v>
      </c>
      <c r="D116" s="7" t="s">
        <v>27</v>
      </c>
      <c r="E116" s="7" t="s">
        <v>19</v>
      </c>
      <c r="F116" s="7">
        <v>8</v>
      </c>
      <c r="G116" s="7">
        <v>443.39</v>
      </c>
      <c r="H116" s="7">
        <v>0</v>
      </c>
      <c r="I116" s="7">
        <v>3547.12</v>
      </c>
      <c r="J116" s="7">
        <v>14.1</v>
      </c>
      <c r="K116" s="7" t="s">
        <v>29</v>
      </c>
      <c r="L116" s="9">
        <f t="shared" si="4"/>
        <v>443.39</v>
      </c>
      <c r="M116" s="7">
        <f t="shared" si="5"/>
        <v>3533.02</v>
      </c>
      <c r="N116" s="7" t="str">
        <f t="shared" si="6"/>
        <v>Sep</v>
      </c>
      <c r="O116" s="7" t="str">
        <f t="shared" si="7"/>
        <v>0%</v>
      </c>
    </row>
    <row r="117" spans="1:15">
      <c r="A117" s="7" t="s">
        <v>144</v>
      </c>
      <c r="B117" s="8">
        <v>45299</v>
      </c>
      <c r="C117" s="7" t="s">
        <v>17</v>
      </c>
      <c r="D117" s="7" t="s">
        <v>33</v>
      </c>
      <c r="E117" s="7" t="s">
        <v>23</v>
      </c>
      <c r="F117" s="7">
        <v>3</v>
      </c>
      <c r="G117" s="7">
        <v>132.58000000000001</v>
      </c>
      <c r="H117" s="7">
        <v>0</v>
      </c>
      <c r="I117" s="7">
        <v>397.74</v>
      </c>
      <c r="J117" s="7">
        <v>12.8</v>
      </c>
      <c r="K117" s="7" t="s">
        <v>34</v>
      </c>
      <c r="L117" s="9">
        <f t="shared" si="4"/>
        <v>132.58000000000001</v>
      </c>
      <c r="M117" s="7">
        <f t="shared" si="5"/>
        <v>384.94</v>
      </c>
      <c r="N117" s="7" t="str">
        <f t="shared" si="6"/>
        <v>Jan</v>
      </c>
      <c r="O117" s="7" t="str">
        <f t="shared" si="7"/>
        <v>0%</v>
      </c>
    </row>
    <row r="118" spans="1:15">
      <c r="A118" s="7" t="s">
        <v>145</v>
      </c>
      <c r="B118" s="8">
        <v>45465</v>
      </c>
      <c r="C118" s="7" t="s">
        <v>17</v>
      </c>
      <c r="D118" s="7" t="s">
        <v>18</v>
      </c>
      <c r="E118" s="7" t="s">
        <v>19</v>
      </c>
      <c r="F118" s="7">
        <v>7</v>
      </c>
      <c r="G118" s="7">
        <v>433.29</v>
      </c>
      <c r="H118" s="7">
        <v>0</v>
      </c>
      <c r="I118" s="7">
        <v>3033.03</v>
      </c>
      <c r="J118" s="7">
        <v>16.420000000000002</v>
      </c>
      <c r="K118" s="7" t="s">
        <v>29</v>
      </c>
      <c r="L118" s="9">
        <f t="shared" si="4"/>
        <v>433.29</v>
      </c>
      <c r="M118" s="7">
        <f t="shared" si="5"/>
        <v>3016.61</v>
      </c>
      <c r="N118" s="7" t="str">
        <f t="shared" si="6"/>
        <v>Jun</v>
      </c>
      <c r="O118" s="7" t="str">
        <f t="shared" si="7"/>
        <v>0%</v>
      </c>
    </row>
    <row r="119" spans="1:15">
      <c r="A119" s="7" t="s">
        <v>146</v>
      </c>
      <c r="B119" s="8">
        <v>45569</v>
      </c>
      <c r="C119" s="7" t="s">
        <v>12</v>
      </c>
      <c r="D119" s="7" t="s">
        <v>22</v>
      </c>
      <c r="E119" s="7" t="s">
        <v>19</v>
      </c>
      <c r="F119" s="7">
        <v>5</v>
      </c>
      <c r="G119" s="7">
        <v>155.65</v>
      </c>
      <c r="H119" s="7">
        <v>0</v>
      </c>
      <c r="I119" s="7">
        <v>778.25</v>
      </c>
      <c r="J119" s="7">
        <v>19.18</v>
      </c>
      <c r="K119" s="7" t="s">
        <v>29</v>
      </c>
      <c r="L119" s="9">
        <f t="shared" si="4"/>
        <v>155.65</v>
      </c>
      <c r="M119" s="7">
        <f t="shared" si="5"/>
        <v>759.07</v>
      </c>
      <c r="N119" s="7" t="str">
        <f t="shared" si="6"/>
        <v>Oct</v>
      </c>
      <c r="O119" s="7" t="str">
        <f t="shared" si="7"/>
        <v>0%</v>
      </c>
    </row>
    <row r="120" spans="1:15">
      <c r="A120" s="7" t="s">
        <v>147</v>
      </c>
      <c r="B120" s="8">
        <v>45342</v>
      </c>
      <c r="C120" s="7" t="s">
        <v>17</v>
      </c>
      <c r="D120" s="7" t="s">
        <v>13</v>
      </c>
      <c r="E120" s="7" t="s">
        <v>23</v>
      </c>
      <c r="F120" s="7">
        <v>5</v>
      </c>
      <c r="G120" s="7">
        <v>37.46</v>
      </c>
      <c r="H120" s="7">
        <v>0</v>
      </c>
      <c r="I120" s="7">
        <v>187.3</v>
      </c>
      <c r="J120" s="7">
        <v>3.06</v>
      </c>
      <c r="K120" s="7" t="s">
        <v>20</v>
      </c>
      <c r="L120" s="9">
        <f t="shared" si="4"/>
        <v>37.46</v>
      </c>
      <c r="M120" s="7">
        <f t="shared" si="5"/>
        <v>184.24</v>
      </c>
      <c r="N120" s="7" t="str">
        <f t="shared" si="6"/>
        <v>Feb</v>
      </c>
      <c r="O120" s="7" t="str">
        <f t="shared" si="7"/>
        <v>0%</v>
      </c>
    </row>
    <row r="121" spans="1:15">
      <c r="A121" s="7" t="s">
        <v>148</v>
      </c>
      <c r="B121" s="8">
        <v>45442</v>
      </c>
      <c r="C121" s="7" t="s">
        <v>26</v>
      </c>
      <c r="D121" s="7" t="s">
        <v>27</v>
      </c>
      <c r="E121" s="7" t="s">
        <v>23</v>
      </c>
      <c r="F121" s="7">
        <v>7</v>
      </c>
      <c r="G121" s="7">
        <v>34.65</v>
      </c>
      <c r="H121" s="7">
        <v>10</v>
      </c>
      <c r="I121" s="7">
        <v>218.3</v>
      </c>
      <c r="J121" s="7">
        <v>17.68</v>
      </c>
      <c r="K121" s="7" t="s">
        <v>24</v>
      </c>
      <c r="L121" s="9">
        <f t="shared" si="4"/>
        <v>31.19</v>
      </c>
      <c r="M121" s="7">
        <f t="shared" si="5"/>
        <v>200.62</v>
      </c>
      <c r="N121" s="7" t="str">
        <f t="shared" si="6"/>
        <v>May</v>
      </c>
      <c r="O121" s="7" t="str">
        <f t="shared" si="7"/>
        <v>10%</v>
      </c>
    </row>
    <row r="123" spans="1:15">
      <c r="I123" t="s">
        <v>230</v>
      </c>
      <c r="J123" s="42" t="s">
        <v>252</v>
      </c>
      <c r="K123" s="42"/>
      <c r="L123" t="s">
        <v>253</v>
      </c>
      <c r="M123" t="s">
        <v>254</v>
      </c>
    </row>
    <row r="124" spans="1:15">
      <c r="I124">
        <f>SUM(I2:I121)</f>
        <v>106832.84999999999</v>
      </c>
      <c r="J124" s="43">
        <f>AVERAGE(I2:I121)</f>
        <v>890.27374999999995</v>
      </c>
      <c r="K124" s="43"/>
      <c r="L124">
        <f>COUNT(I2:I121)</f>
        <v>120</v>
      </c>
      <c r="M124">
        <f>MEDIAN(I2:I121)</f>
        <v>473.33499999999998</v>
      </c>
    </row>
  </sheetData>
  <autoFilter ref="A1:O121" xr:uid="{217A1A7A-7B39-4C94-A10D-74A8B9806C90}"/>
  <mergeCells count="2">
    <mergeCell ref="J123:K123"/>
    <mergeCell ref="J124:K1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6022-3607-47FE-B3C7-47A9B539B4FF}">
  <dimension ref="A1:E29"/>
  <sheetViews>
    <sheetView tabSelected="1" topLeftCell="A13" zoomScale="88" workbookViewId="0">
      <selection activeCell="H24" sqref="H24"/>
    </sheetView>
  </sheetViews>
  <sheetFormatPr defaultRowHeight="14.4"/>
  <cols>
    <col min="1" max="4" width="19.44140625" style="2" customWidth="1"/>
    <col min="5" max="5" width="55.33203125" style="2" bestFit="1" customWidth="1"/>
    <col min="6" max="16384" width="8.88671875" style="2"/>
  </cols>
  <sheetData>
    <row r="1" spans="1:5" ht="31.8" thickBot="1">
      <c r="A1" s="10" t="s">
        <v>226</v>
      </c>
      <c r="B1" s="18" t="s">
        <v>227</v>
      </c>
      <c r="C1" s="10" t="s">
        <v>228</v>
      </c>
      <c r="D1" s="11" t="s">
        <v>229</v>
      </c>
      <c r="E1" s="18" t="s">
        <v>227</v>
      </c>
    </row>
    <row r="2" spans="1:5" ht="28.2" thickBot="1">
      <c r="A2" s="15" t="s">
        <v>181</v>
      </c>
      <c r="B2" s="19">
        <f>COUNT(Calculations!I2:I121)</f>
        <v>120</v>
      </c>
      <c r="C2" s="28">
        <v>120</v>
      </c>
      <c r="D2" s="12" t="s">
        <v>182</v>
      </c>
      <c r="E2" s="19" t="str">
        <f ca="1">_xlfn.FORMULATEXT(B2)</f>
        <v>=COUNT(Calculations!I2:I121)</v>
      </c>
    </row>
    <row r="3" spans="1:5" ht="28.2" thickBot="1">
      <c r="A3" s="16" t="s">
        <v>183</v>
      </c>
      <c r="B3" s="20">
        <f>AVERAGE(Calculations!I2:I121)</f>
        <v>890.27374999999995</v>
      </c>
      <c r="C3" s="27" t="s">
        <v>184</v>
      </c>
      <c r="D3" s="13" t="s">
        <v>185</v>
      </c>
      <c r="E3" s="19" t="str">
        <f t="shared" ref="E3:E17" ca="1" si="0">_xlfn.FORMULATEXT(B3)</f>
        <v>=AVERAGE(Calculations!I2:I121)</v>
      </c>
    </row>
    <row r="4" spans="1:5" ht="42" thickBot="1">
      <c r="A4" s="16" t="s">
        <v>186</v>
      </c>
      <c r="B4" s="20">
        <f>MEDIAN(Calculations!I2:I121)</f>
        <v>473.33499999999998</v>
      </c>
      <c r="C4" s="27" t="s">
        <v>187</v>
      </c>
      <c r="D4" s="13" t="s">
        <v>188</v>
      </c>
      <c r="E4" s="19" t="str">
        <f t="shared" ca="1" si="0"/>
        <v>=MEDIAN(Calculations!I2:I121)</v>
      </c>
    </row>
    <row r="5" spans="1:5" ht="42" thickBot="1">
      <c r="A5" s="16" t="s">
        <v>189</v>
      </c>
      <c r="B5" s="20" t="str">
        <f>IFERROR(_xlfn.MODE.SNGL(Calculations!I2:I121), "All Unique")</f>
        <v>All Unique</v>
      </c>
      <c r="C5" s="17" t="s">
        <v>190</v>
      </c>
      <c r="D5" s="13" t="s">
        <v>191</v>
      </c>
      <c r="E5" s="19" t="str">
        <f t="shared" ca="1" si="0"/>
        <v>=IFERROR(MODE.SNGL(Calculations!I2:I121), "All Unique")</v>
      </c>
    </row>
    <row r="6" spans="1:5" ht="28.2" thickBot="1">
      <c r="A6" s="16" t="s">
        <v>192</v>
      </c>
      <c r="B6" s="20">
        <f>MIN(Calculations!I2:I121)</f>
        <v>13.1</v>
      </c>
      <c r="C6" s="54" t="s">
        <v>193</v>
      </c>
      <c r="D6" s="13" t="s">
        <v>194</v>
      </c>
      <c r="E6" s="19" t="str">
        <f t="shared" ca="1" si="0"/>
        <v>=MIN(Calculations!I2:I121)</v>
      </c>
    </row>
    <row r="7" spans="1:5" ht="28.2" thickBot="1">
      <c r="A7" s="16" t="s">
        <v>195</v>
      </c>
      <c r="B7" s="20">
        <f>MAX(Calculations!I2:I121)</f>
        <v>5341.32</v>
      </c>
      <c r="C7" s="54" t="s">
        <v>196</v>
      </c>
      <c r="D7" s="13" t="s">
        <v>197</v>
      </c>
      <c r="E7" s="19" t="str">
        <f t="shared" ca="1" si="0"/>
        <v>=MAX(Calculations!I2:I121)</v>
      </c>
    </row>
    <row r="8" spans="1:5" ht="42" thickBot="1">
      <c r="A8" s="16" t="s">
        <v>198</v>
      </c>
      <c r="B8" s="55">
        <f>MAX(Calculations!$I$2:$I$121) - MIN(Calculations!$I$2:$I$121)</f>
        <v>5328.2199999999993</v>
      </c>
      <c r="C8" s="54" t="s">
        <v>199</v>
      </c>
      <c r="D8" s="13" t="s">
        <v>200</v>
      </c>
      <c r="E8" s="19" t="str">
        <f t="shared" ca="1" si="0"/>
        <v>=MAX(Calculations!$I$2:$I$121) - MIN(Calculations!$I$2:$I$121)</v>
      </c>
    </row>
    <row r="9" spans="1:5" ht="28.2" thickBot="1">
      <c r="A9" s="16" t="s">
        <v>201</v>
      </c>
      <c r="B9" s="56">
        <f>_xlfn.VAR.S(Calculations!I2:I121)</f>
        <v>1100002.0036118699</v>
      </c>
      <c r="C9" s="21">
        <v>1100002</v>
      </c>
      <c r="D9" s="13" t="s">
        <v>202</v>
      </c>
      <c r="E9" s="19" t="str">
        <f t="shared" ca="1" si="0"/>
        <v>=VAR.S(Calculations!I2:I121)</v>
      </c>
    </row>
    <row r="10" spans="1:5" ht="42" thickBot="1">
      <c r="A10" s="16" t="s">
        <v>203</v>
      </c>
      <c r="B10" s="20">
        <f>_xlfn.STDEV.S(Calculations!I2:I121)</f>
        <v>1048.8098033541971</v>
      </c>
      <c r="C10" s="27" t="s">
        <v>204</v>
      </c>
      <c r="D10" s="13" t="s">
        <v>205</v>
      </c>
      <c r="E10" s="19" t="str">
        <f t="shared" ca="1" si="0"/>
        <v>=STDEV.S(Calculations!I2:I121)</v>
      </c>
    </row>
    <row r="11" spans="1:5" ht="42" thickBot="1">
      <c r="A11" s="16" t="s">
        <v>206</v>
      </c>
      <c r="B11" s="20">
        <f>_xlfn.QUARTILE.INC(Calculations!I2:I121, 1)</f>
        <v>185.69499999999999</v>
      </c>
      <c r="C11" s="27" t="s">
        <v>207</v>
      </c>
      <c r="D11" s="13" t="s">
        <v>208</v>
      </c>
      <c r="E11" s="19" t="str">
        <f t="shared" ca="1" si="0"/>
        <v>=QUARTILE.INC(Calculations!I2:I121, 1)</v>
      </c>
    </row>
    <row r="12" spans="1:5" ht="42" thickBot="1">
      <c r="A12" s="16" t="s">
        <v>209</v>
      </c>
      <c r="B12" s="20">
        <f>_xlfn.QUARTILE.INC(Calculations!I2:I121, 3)</f>
        <v>1280.595</v>
      </c>
      <c r="C12" s="27" t="s">
        <v>210</v>
      </c>
      <c r="D12" s="13" t="s">
        <v>211</v>
      </c>
      <c r="E12" s="19" t="str">
        <f t="shared" ca="1" si="0"/>
        <v>=QUARTILE.INC(Calculations!I2:I121, 3)</v>
      </c>
    </row>
    <row r="13" spans="1:5" ht="55.8" thickBot="1">
      <c r="A13" s="16" t="s">
        <v>212</v>
      </c>
      <c r="B13" s="53">
        <f>B12 - B11</f>
        <v>1094.9000000000001</v>
      </c>
      <c r="C13" s="27" t="s">
        <v>213</v>
      </c>
      <c r="D13" s="13" t="s">
        <v>214</v>
      </c>
      <c r="E13" s="19" t="str">
        <f t="shared" ca="1" si="0"/>
        <v>=B12 - B11</v>
      </c>
    </row>
    <row r="14" spans="1:5" ht="42" thickBot="1">
      <c r="A14" s="16" t="s">
        <v>215</v>
      </c>
      <c r="B14" s="53">
        <f>B11 - (1.5*B13)</f>
        <v>-1456.6550000000002</v>
      </c>
      <c r="C14" s="27" t="s">
        <v>216</v>
      </c>
      <c r="D14" s="13" t="s">
        <v>217</v>
      </c>
      <c r="E14" s="19" t="str">
        <f t="shared" ca="1" si="0"/>
        <v>=B11 - (1.5*B13)</v>
      </c>
    </row>
    <row r="15" spans="1:5" ht="28.2" thickBot="1">
      <c r="A15" s="16" t="s">
        <v>218</v>
      </c>
      <c r="B15" s="53">
        <f>B12+(1.5*B13)</f>
        <v>2922.9450000000002</v>
      </c>
      <c r="C15" s="27" t="s">
        <v>219</v>
      </c>
      <c r="D15" s="13" t="s">
        <v>220</v>
      </c>
      <c r="E15" s="19" t="str">
        <f t="shared" ca="1" si="0"/>
        <v>=B12+(1.5*B13)</v>
      </c>
    </row>
    <row r="16" spans="1:5" ht="42" thickBot="1">
      <c r="A16" s="16" t="s">
        <v>221</v>
      </c>
      <c r="B16" s="20">
        <f>COUNTIF(Calculations!I2:I121, "&gt;" &amp; B15)</f>
        <v>8</v>
      </c>
      <c r="C16" s="29">
        <v>8</v>
      </c>
      <c r="D16" s="13" t="s">
        <v>222</v>
      </c>
      <c r="E16" s="19" t="str">
        <f t="shared" ca="1" si="0"/>
        <v>=COUNTIF(Calculations!I2:I121, "&gt;" &amp; B15)</v>
      </c>
    </row>
    <row r="17" spans="1:5" ht="42" thickBot="1">
      <c r="A17" s="16" t="s">
        <v>223</v>
      </c>
      <c r="B17" s="22">
        <f>_xlfn.PERCENTILE.INC(Calculations!I2:I121, 0.9)</f>
        <v>2426.08</v>
      </c>
      <c r="C17" s="27" t="s">
        <v>224</v>
      </c>
      <c r="D17" s="13" t="s">
        <v>225</v>
      </c>
      <c r="E17" s="19" t="str">
        <f t="shared" ca="1" si="0"/>
        <v>=PERCENTILE.INC(Calculations!I2:I121, 0.9)</v>
      </c>
    </row>
    <row r="19" spans="1:5">
      <c r="A19" s="14" t="s">
        <v>3</v>
      </c>
      <c r="B19" s="14" t="s">
        <v>230</v>
      </c>
      <c r="C19" s="14" t="s">
        <v>231</v>
      </c>
      <c r="D19" s="14" t="s">
        <v>232</v>
      </c>
      <c r="E19" s="14" t="s">
        <v>230</v>
      </c>
    </row>
    <row r="20" spans="1:5">
      <c r="A20" s="23" t="s">
        <v>22</v>
      </c>
      <c r="B20" s="24">
        <f>SUMIF(Calculations!$D$2:$D$121, A20, Calculations!$I$2:$I$121)</f>
        <v>34125.629999999997</v>
      </c>
      <c r="C20" s="24">
        <f>AVERAGEIF(Calculations!$D$2:$D$121, "Central", Calculations!$I$2:$I$121)</f>
        <v>1066.4259374999999</v>
      </c>
      <c r="D20" s="23">
        <f>COUNTIF(Calculations!$D$2:$D$121, "Central")</f>
        <v>32</v>
      </c>
      <c r="E20" s="24">
        <f>SUMIF(Calculations!$D$2:$D$121, "Central", Calculations!$I$2:$I$121)</f>
        <v>34125.629999999997</v>
      </c>
    </row>
    <row r="21" spans="1:5">
      <c r="A21" s="23" t="s">
        <v>27</v>
      </c>
      <c r="B21" s="24">
        <f>SUMIF(Calculations!$D$2:$D$121, "East", Calculations!$I$2:$I$121)</f>
        <v>24833.109999999997</v>
      </c>
      <c r="C21" s="24">
        <f>AVERAGEIF(Calculations!$D$2:$D$121, "East", Calculations!$I$2:$I$121)</f>
        <v>827.77033333333327</v>
      </c>
      <c r="D21" s="23">
        <f>COUNTIF(Calculations!$D$2:$D$121, "East")</f>
        <v>30</v>
      </c>
      <c r="E21" s="24">
        <f>SUMIF(Calculations!$D$2:$D$121, "East", Calculations!$I$2:$I$121)</f>
        <v>24833.109999999997</v>
      </c>
    </row>
    <row r="22" spans="1:5">
      <c r="A22" s="23" t="s">
        <v>33</v>
      </c>
      <c r="B22" s="24">
        <f>SUMIF(Calculations!$D$2:$D$121, "South", Calculations!$I$2:$I$121)</f>
        <v>21448.010000000006</v>
      </c>
      <c r="C22" s="24">
        <f>AVERAGEIF(Calculations!$D$2:$D$121, "South", Calculations!$I$2:$I$121)</f>
        <v>974.90954545454576</v>
      </c>
      <c r="D22" s="23">
        <f>COUNTIF(Calculations!$D$2:$D$121, "South")</f>
        <v>22</v>
      </c>
      <c r="E22" s="24">
        <f>SUMIF(Calculations!$D$2:$D$121, "South", Calculations!$I$2:$I$121)</f>
        <v>21448.010000000006</v>
      </c>
    </row>
    <row r="23" spans="1:5">
      <c r="A23" s="23" t="s">
        <v>18</v>
      </c>
      <c r="B23" s="24">
        <f>SUMIF(Calculations!$D$2:$D$121, "West", Calculations!$I$2:$I$121)</f>
        <v>13759</v>
      </c>
      <c r="C23" s="24">
        <f>AVERAGEIF(Calculations!$D$2:$D$121, "West", Calculations!$I$2:$I$121)</f>
        <v>687.95</v>
      </c>
      <c r="D23" s="23">
        <f>COUNTIF(Calculations!$D$2:$D$121, "West")</f>
        <v>20</v>
      </c>
      <c r="E23" s="24">
        <f>SUMIF(Calculations!$D$2:$D$121, "West", Calculations!$I$2:$I$121)</f>
        <v>13759</v>
      </c>
    </row>
    <row r="24" spans="1:5">
      <c r="A24" s="23" t="s">
        <v>13</v>
      </c>
      <c r="B24" s="24">
        <f>SUMIF(Calculations!$D$2:$D$121, "North", Calculations!$I$2:$I$121)</f>
        <v>12667.099999999997</v>
      </c>
      <c r="C24" s="24">
        <f>AVERAGEIF(Calculations!$D$2:$D$121, "North", Calculations!$I$2:$I$121)</f>
        <v>791.6937499999998</v>
      </c>
      <c r="D24" s="23">
        <f>COUNTIF(Calculations!$D$2:$D$121, "North")</f>
        <v>16</v>
      </c>
      <c r="E24" s="24">
        <f>SUMIF(Calculations!$D$2:$D$121, "North", Calculations!$I$2:$I$121)</f>
        <v>12667.099999999997</v>
      </c>
    </row>
    <row r="26" spans="1:5">
      <c r="A26" s="14" t="s">
        <v>233</v>
      </c>
      <c r="B26" s="14" t="s">
        <v>230</v>
      </c>
      <c r="C26" s="14" t="s">
        <v>231</v>
      </c>
      <c r="D26" s="14" t="s">
        <v>232</v>
      </c>
      <c r="E26" s="14" t="s">
        <v>230</v>
      </c>
    </row>
    <row r="27" spans="1:5">
      <c r="A27" s="25" t="s">
        <v>17</v>
      </c>
      <c r="B27" s="26">
        <f>SUMIF(Calculations!$C$2:$C$121, "Corporate", Calculations!$I$2:$I$121)</f>
        <v>41726.44000000001</v>
      </c>
      <c r="C27" s="26">
        <f>AVERAGEIF(Calculations!$C$2:$C$121, "Corporate", Calculations!$I$2:$I$121)</f>
        <v>1098.0642105263159</v>
      </c>
      <c r="D27" s="25">
        <f>COUNTIF(Calculations!$C$2:$C$121, "Corporate")</f>
        <v>38</v>
      </c>
      <c r="E27" s="26">
        <f>SUMIF(Calculations!$C$2:$C$121, "Corporate", Calculations!$I$2:$I$121)</f>
        <v>41726.44000000001</v>
      </c>
    </row>
    <row r="28" spans="1:5">
      <c r="A28" s="25" t="s">
        <v>234</v>
      </c>
      <c r="B28" s="26">
        <f>SUMIF(Calculations!$C$2:$C$121, "Consumer", Calculations!$I$2:$I$121)</f>
        <v>29127.070000000003</v>
      </c>
      <c r="C28" s="26">
        <f>AVERAGEIF(Calculations!$C$2:$C$121, "Consumer", Calculations!$I$2:$I$121)</f>
        <v>832.20200000000011</v>
      </c>
      <c r="D28" s="25">
        <f>COUNTIF(Calculations!$C$2:$C$121, "Consumer")</f>
        <v>35</v>
      </c>
      <c r="E28" s="26">
        <f>SUMIF(Calculations!$C$2:$C$121, "Consumer", Calculations!$I$2:$I$121)</f>
        <v>29127.070000000003</v>
      </c>
    </row>
    <row r="29" spans="1:5">
      <c r="A29" s="25" t="s">
        <v>235</v>
      </c>
      <c r="B29" s="26">
        <f>SUMIF(Calculations!$C$2:$C$121, "Small Business", Calculations!$I$2:$I$121)</f>
        <v>35979.340000000004</v>
      </c>
      <c r="C29" s="26">
        <f>AVERAGEIF(Calculations!$C$2:$C$121, "Small Business", Calculations!$I$2:$I$121)</f>
        <v>765.51787234042558</v>
      </c>
      <c r="D29" s="25">
        <f>COUNTIF(Calculations!$C$2:$C$121, "Small Business")</f>
        <v>47</v>
      </c>
      <c r="E29" s="26">
        <f>SUMIF(Calculations!$C$2:$C$121, "Small Business", Calculations!$I$2:$I$121)</f>
        <v>35979.340000000004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13A0-3104-4714-9B0E-CA14147C8916}">
  <dimension ref="A1:A10"/>
  <sheetViews>
    <sheetView workbookViewId="0">
      <selection activeCell="D4" sqref="D4"/>
    </sheetView>
  </sheetViews>
  <sheetFormatPr defaultRowHeight="14.4"/>
  <cols>
    <col min="1" max="1" width="41.44140625" bestFit="1" customWidth="1"/>
  </cols>
  <sheetData>
    <row r="1" spans="1:1" ht="36">
      <c r="A1" s="33" t="s">
        <v>236</v>
      </c>
    </row>
    <row r="3" spans="1:1" ht="100.8">
      <c r="A3" s="30" t="s">
        <v>237</v>
      </c>
    </row>
    <row r="4" spans="1:1" ht="86.4">
      <c r="A4" s="31" t="s">
        <v>238</v>
      </c>
    </row>
    <row r="5" spans="1:1" ht="57.6">
      <c r="A5" s="32" t="s">
        <v>239</v>
      </c>
    </row>
    <row r="6" spans="1:1" ht="72">
      <c r="A6" s="32" t="s">
        <v>240</v>
      </c>
    </row>
    <row r="7" spans="1:1" ht="100.8">
      <c r="A7" s="32" t="s">
        <v>241</v>
      </c>
    </row>
    <row r="8" spans="1:1" ht="72">
      <c r="A8" s="32" t="s">
        <v>242</v>
      </c>
    </row>
    <row r="9" spans="1:1" ht="72">
      <c r="A9" s="32" t="s">
        <v>243</v>
      </c>
    </row>
    <row r="10" spans="1:1" ht="72">
      <c r="A10" s="32" t="s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B6A-BB21-4B12-BE18-5CD2FB90B87C}">
  <dimension ref="A1:E24"/>
  <sheetViews>
    <sheetView workbookViewId="0">
      <selection activeCell="G12" sqref="G12"/>
    </sheetView>
  </sheetViews>
  <sheetFormatPr defaultRowHeight="14.4"/>
  <cols>
    <col min="1" max="1" width="12.5546875" bestFit="1" customWidth="1"/>
    <col min="2" max="2" width="17.21875" bestFit="1" customWidth="1"/>
    <col min="3" max="3" width="18.5546875" bestFit="1" customWidth="1"/>
    <col min="4" max="4" width="11.33203125" bestFit="1" customWidth="1"/>
    <col min="5" max="5" width="12.77734375" bestFit="1" customWidth="1"/>
  </cols>
  <sheetData>
    <row r="1" spans="1:5">
      <c r="A1" s="34" t="s">
        <v>245</v>
      </c>
      <c r="B1" t="s">
        <v>247</v>
      </c>
      <c r="C1" t="s">
        <v>231</v>
      </c>
      <c r="D1" t="s">
        <v>232</v>
      </c>
    </row>
    <row r="2" spans="1:5">
      <c r="A2" s="35" t="s">
        <v>22</v>
      </c>
      <c r="B2" s="36">
        <v>34125.629999999997</v>
      </c>
      <c r="C2" s="37">
        <v>1066.4259374999999</v>
      </c>
      <c r="D2" s="36">
        <v>32</v>
      </c>
    </row>
    <row r="3" spans="1:5">
      <c r="A3" s="35" t="s">
        <v>27</v>
      </c>
      <c r="B3" s="36">
        <v>24833.109999999997</v>
      </c>
      <c r="C3" s="37">
        <v>827.77033333333327</v>
      </c>
      <c r="D3" s="36">
        <v>30</v>
      </c>
    </row>
    <row r="4" spans="1:5">
      <c r="A4" s="35" t="s">
        <v>13</v>
      </c>
      <c r="B4" s="36">
        <v>12667.099999999997</v>
      </c>
      <c r="C4" s="37">
        <v>791.6937499999998</v>
      </c>
      <c r="D4" s="36">
        <v>16</v>
      </c>
    </row>
    <row r="5" spans="1:5">
      <c r="A5" s="35" t="s">
        <v>33</v>
      </c>
      <c r="B5" s="36">
        <v>21448.010000000006</v>
      </c>
      <c r="C5" s="37">
        <v>974.90954545454576</v>
      </c>
      <c r="D5" s="36">
        <v>22</v>
      </c>
    </row>
    <row r="6" spans="1:5">
      <c r="A6" s="35" t="s">
        <v>18</v>
      </c>
      <c r="B6" s="36">
        <v>13759</v>
      </c>
      <c r="C6" s="37">
        <v>687.95</v>
      </c>
      <c r="D6" s="36">
        <v>20</v>
      </c>
    </row>
    <row r="7" spans="1:5">
      <c r="A7" s="35" t="s">
        <v>246</v>
      </c>
      <c r="B7" s="36">
        <v>106832.84999999998</v>
      </c>
      <c r="C7" s="37">
        <v>890.27374999999984</v>
      </c>
      <c r="D7" s="36">
        <v>120</v>
      </c>
    </row>
    <row r="9" spans="1:5">
      <c r="A9" s="34" t="s">
        <v>247</v>
      </c>
      <c r="B9" s="34" t="s">
        <v>249</v>
      </c>
    </row>
    <row r="10" spans="1:5">
      <c r="A10" s="34" t="s">
        <v>245</v>
      </c>
      <c r="B10" t="s">
        <v>12</v>
      </c>
      <c r="C10" t="s">
        <v>17</v>
      </c>
      <c r="D10" t="s">
        <v>26</v>
      </c>
      <c r="E10" t="s">
        <v>246</v>
      </c>
    </row>
    <row r="11" spans="1:5">
      <c r="A11" s="35" t="s">
        <v>23</v>
      </c>
      <c r="B11" s="37">
        <v>1676.06</v>
      </c>
      <c r="C11" s="37">
        <v>2169.64</v>
      </c>
      <c r="D11" s="37">
        <v>5065.1900000000005</v>
      </c>
      <c r="E11" s="37">
        <v>8910.89</v>
      </c>
    </row>
    <row r="12" spans="1:5">
      <c r="A12" s="35" t="s">
        <v>19</v>
      </c>
      <c r="B12" s="37">
        <v>11082.21</v>
      </c>
      <c r="C12" s="37">
        <v>13725.42</v>
      </c>
      <c r="D12" s="37">
        <v>6631.23</v>
      </c>
      <c r="E12" s="37">
        <v>31438.859999999997</v>
      </c>
    </row>
    <row r="13" spans="1:5">
      <c r="A13" s="35" t="s">
        <v>14</v>
      </c>
      <c r="B13" s="37">
        <v>11744.61</v>
      </c>
      <c r="C13" s="37">
        <v>15998.119999999999</v>
      </c>
      <c r="D13" s="37">
        <v>19802.39</v>
      </c>
      <c r="E13" s="37">
        <v>47545.119999999995</v>
      </c>
    </row>
    <row r="14" spans="1:5">
      <c r="A14" s="35" t="s">
        <v>31</v>
      </c>
      <c r="B14" s="37">
        <v>3456.66</v>
      </c>
      <c r="C14" s="37">
        <v>8514.51</v>
      </c>
      <c r="D14" s="37">
        <v>2817.1400000000003</v>
      </c>
      <c r="E14" s="37">
        <v>14788.310000000001</v>
      </c>
    </row>
    <row r="15" spans="1:5">
      <c r="A15" s="35" t="s">
        <v>36</v>
      </c>
      <c r="B15" s="37">
        <v>1167.53</v>
      </c>
      <c r="C15" s="37">
        <v>1318.7500000000002</v>
      </c>
      <c r="D15" s="37">
        <v>1663.3899999999999</v>
      </c>
      <c r="E15" s="37">
        <v>4149.67</v>
      </c>
    </row>
    <row r="16" spans="1:5">
      <c r="A16" s="35" t="s">
        <v>246</v>
      </c>
      <c r="B16" s="37">
        <v>29127.069999999996</v>
      </c>
      <c r="C16" s="37">
        <v>41726.44</v>
      </c>
      <c r="D16" s="37">
        <v>35979.339999999997</v>
      </c>
      <c r="E16" s="37">
        <v>106832.84999999999</v>
      </c>
    </row>
    <row r="18" spans="1:3">
      <c r="A18" s="34" t="s">
        <v>245</v>
      </c>
      <c r="B18" t="s">
        <v>248</v>
      </c>
      <c r="C18" t="s">
        <v>250</v>
      </c>
    </row>
    <row r="19" spans="1:3">
      <c r="A19" s="35" t="s">
        <v>15</v>
      </c>
      <c r="B19" s="36">
        <v>26</v>
      </c>
      <c r="C19" s="38">
        <v>0.21666666666666667</v>
      </c>
    </row>
    <row r="20" spans="1:3">
      <c r="A20" s="35" t="s">
        <v>20</v>
      </c>
      <c r="B20" s="36">
        <v>23</v>
      </c>
      <c r="C20" s="38">
        <v>0.19166666666666668</v>
      </c>
    </row>
    <row r="21" spans="1:3">
      <c r="A21" s="35" t="s">
        <v>24</v>
      </c>
      <c r="B21" s="36">
        <v>20</v>
      </c>
      <c r="C21" s="38">
        <v>0.16666666666666666</v>
      </c>
    </row>
    <row r="22" spans="1:3">
      <c r="A22" s="35" t="s">
        <v>34</v>
      </c>
      <c r="B22" s="36">
        <v>21</v>
      </c>
      <c r="C22" s="38">
        <v>0.17499999999999999</v>
      </c>
    </row>
    <row r="23" spans="1:3">
      <c r="A23" s="35" t="s">
        <v>29</v>
      </c>
      <c r="B23" s="36">
        <v>30</v>
      </c>
      <c r="C23" s="38">
        <v>0.25</v>
      </c>
    </row>
    <row r="24" spans="1:3">
      <c r="A24" s="35" t="s">
        <v>246</v>
      </c>
      <c r="B24" s="36">
        <v>120</v>
      </c>
      <c r="C24" s="3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41C6-7D2F-4D01-B905-71B8924DC078}">
  <dimension ref="A1:X48"/>
  <sheetViews>
    <sheetView zoomScale="81" zoomScaleNormal="81" workbookViewId="0">
      <pane xSplit="24" ySplit="9" topLeftCell="Y10" activePane="bottomRight" state="frozen"/>
      <selection pane="topRight" activeCell="Y1" sqref="Y1"/>
      <selection pane="bottomLeft" activeCell="A10" sqref="A10"/>
      <selection pane="bottomRight" activeCell="X26" sqref="X26"/>
    </sheetView>
  </sheetViews>
  <sheetFormatPr defaultRowHeight="14.4"/>
  <cols>
    <col min="2" max="4" width="8.88671875" customWidth="1"/>
  </cols>
  <sheetData>
    <row r="1" spans="1:2" ht="28.8">
      <c r="A1" s="40"/>
      <c r="B1" s="41" t="s">
        <v>251</v>
      </c>
    </row>
    <row r="28" spans="13:22" ht="15" thickBot="1"/>
    <row r="29" spans="13:22">
      <c r="M29" s="44" t="s">
        <v>255</v>
      </c>
      <c r="N29" s="45"/>
      <c r="O29" s="45"/>
      <c r="P29" s="45"/>
      <c r="Q29" s="45"/>
      <c r="R29" s="45"/>
      <c r="S29" s="45"/>
      <c r="T29" s="45"/>
      <c r="U29" s="45"/>
      <c r="V29" s="46"/>
    </row>
    <row r="30" spans="13:22">
      <c r="M30" s="47"/>
      <c r="N30" s="48"/>
      <c r="O30" s="48"/>
      <c r="P30" s="48"/>
      <c r="Q30" s="48"/>
      <c r="R30" s="48"/>
      <c r="S30" s="48"/>
      <c r="T30" s="48"/>
      <c r="U30" s="48"/>
      <c r="V30" s="49"/>
    </row>
    <row r="31" spans="13:22">
      <c r="M31" s="47"/>
      <c r="N31" s="48"/>
      <c r="O31" s="48"/>
      <c r="P31" s="48"/>
      <c r="Q31" s="48"/>
      <c r="R31" s="48"/>
      <c r="S31" s="48"/>
      <c r="T31" s="48"/>
      <c r="U31" s="48"/>
      <c r="V31" s="49"/>
    </row>
    <row r="32" spans="13:22">
      <c r="M32" s="47"/>
      <c r="N32" s="48"/>
      <c r="O32" s="48"/>
      <c r="P32" s="48"/>
      <c r="Q32" s="48"/>
      <c r="R32" s="48"/>
      <c r="S32" s="48"/>
      <c r="T32" s="48"/>
      <c r="U32" s="48"/>
      <c r="V32" s="49"/>
    </row>
    <row r="33" spans="13:24">
      <c r="M33" s="47"/>
      <c r="N33" s="48"/>
      <c r="O33" s="48"/>
      <c r="P33" s="48"/>
      <c r="Q33" s="48"/>
      <c r="R33" s="48"/>
      <c r="S33" s="48"/>
      <c r="T33" s="48"/>
      <c r="U33" s="48"/>
      <c r="V33" s="49"/>
    </row>
    <row r="34" spans="13:24">
      <c r="M34" s="47"/>
      <c r="N34" s="48"/>
      <c r="O34" s="48"/>
      <c r="P34" s="48"/>
      <c r="Q34" s="48"/>
      <c r="R34" s="48"/>
      <c r="S34" s="48"/>
      <c r="T34" s="48"/>
      <c r="U34" s="48"/>
      <c r="V34" s="49"/>
    </row>
    <row r="35" spans="13:24">
      <c r="M35" s="47"/>
      <c r="N35" s="48"/>
      <c r="O35" s="48"/>
      <c r="P35" s="48"/>
      <c r="Q35" s="48"/>
      <c r="R35" s="48"/>
      <c r="S35" s="48"/>
      <c r="T35" s="48"/>
      <c r="U35" s="48"/>
      <c r="V35" s="49"/>
    </row>
    <row r="36" spans="13:24">
      <c r="M36" s="47"/>
      <c r="N36" s="48"/>
      <c r="O36" s="48"/>
      <c r="P36" s="48"/>
      <c r="Q36" s="48"/>
      <c r="R36" s="48"/>
      <c r="S36" s="48"/>
      <c r="T36" s="48"/>
      <c r="U36" s="48"/>
      <c r="V36" s="49"/>
    </row>
    <row r="37" spans="13:24">
      <c r="M37" s="47"/>
      <c r="N37" s="48"/>
      <c r="O37" s="48"/>
      <c r="P37" s="48"/>
      <c r="Q37" s="48"/>
      <c r="R37" s="48"/>
      <c r="S37" s="48"/>
      <c r="T37" s="48"/>
      <c r="U37" s="48"/>
      <c r="V37" s="49"/>
    </row>
    <row r="38" spans="13:24">
      <c r="M38" s="47"/>
      <c r="N38" s="48"/>
      <c r="O38" s="48"/>
      <c r="P38" s="48"/>
      <c r="Q38" s="48"/>
      <c r="R38" s="48"/>
      <c r="S38" s="48"/>
      <c r="T38" s="48"/>
      <c r="U38" s="48"/>
      <c r="V38" s="49"/>
    </row>
    <row r="39" spans="13:24">
      <c r="M39" s="47"/>
      <c r="N39" s="48"/>
      <c r="O39" s="48"/>
      <c r="P39" s="48"/>
      <c r="Q39" s="48"/>
      <c r="R39" s="48"/>
      <c r="S39" s="48"/>
      <c r="T39" s="48"/>
      <c r="U39" s="48"/>
      <c r="V39" s="49"/>
    </row>
    <row r="40" spans="13:24">
      <c r="M40" s="47"/>
      <c r="N40" s="48"/>
      <c r="O40" s="48"/>
      <c r="P40" s="48"/>
      <c r="Q40" s="48"/>
      <c r="R40" s="48"/>
      <c r="S40" s="48"/>
      <c r="T40" s="48"/>
      <c r="U40" s="48"/>
      <c r="V40" s="49"/>
    </row>
    <row r="41" spans="13:24">
      <c r="M41" s="47"/>
      <c r="N41" s="48"/>
      <c r="O41" s="48"/>
      <c r="P41" s="48"/>
      <c r="Q41" s="48"/>
      <c r="R41" s="48"/>
      <c r="S41" s="48"/>
      <c r="T41" s="48"/>
      <c r="U41" s="48"/>
      <c r="V41" s="49"/>
    </row>
    <row r="42" spans="13:24">
      <c r="M42" s="47"/>
      <c r="N42" s="48"/>
      <c r="O42" s="48"/>
      <c r="P42" s="48"/>
      <c r="Q42" s="48"/>
      <c r="R42" s="48"/>
      <c r="S42" s="48"/>
      <c r="T42" s="48"/>
      <c r="U42" s="48"/>
      <c r="V42" s="49"/>
    </row>
    <row r="43" spans="13:24" ht="15.6">
      <c r="M43" s="47"/>
      <c r="N43" s="48"/>
      <c r="O43" s="48"/>
      <c r="P43" s="48"/>
      <c r="Q43" s="48"/>
      <c r="R43" s="48"/>
      <c r="S43" s="48"/>
      <c r="T43" s="48"/>
      <c r="U43" s="48"/>
      <c r="V43" s="49"/>
      <c r="X43" s="39"/>
    </row>
    <row r="44" spans="13:24">
      <c r="M44" s="47"/>
      <c r="N44" s="48"/>
      <c r="O44" s="48"/>
      <c r="P44" s="48"/>
      <c r="Q44" s="48"/>
      <c r="R44" s="48"/>
      <c r="S44" s="48"/>
      <c r="T44" s="48"/>
      <c r="U44" s="48"/>
      <c r="V44" s="49"/>
    </row>
    <row r="45" spans="13:24">
      <c r="M45" s="47"/>
      <c r="N45" s="48"/>
      <c r="O45" s="48"/>
      <c r="P45" s="48"/>
      <c r="Q45" s="48"/>
      <c r="R45" s="48"/>
      <c r="S45" s="48"/>
      <c r="T45" s="48"/>
      <c r="U45" s="48"/>
      <c r="V45" s="49"/>
    </row>
    <row r="46" spans="13:24">
      <c r="M46" s="47"/>
      <c r="N46" s="48"/>
      <c r="O46" s="48"/>
      <c r="P46" s="48"/>
      <c r="Q46" s="48"/>
      <c r="R46" s="48"/>
      <c r="S46" s="48"/>
      <c r="T46" s="48"/>
      <c r="U46" s="48"/>
      <c r="V46" s="49"/>
    </row>
    <row r="47" spans="13:24">
      <c r="M47" s="47"/>
      <c r="N47" s="48"/>
      <c r="O47" s="48"/>
      <c r="P47" s="48"/>
      <c r="Q47" s="48"/>
      <c r="R47" s="48"/>
      <c r="S47" s="48"/>
      <c r="T47" s="48"/>
      <c r="U47" s="48"/>
      <c r="V47" s="49"/>
    </row>
    <row r="48" spans="13:24" ht="15" thickBot="1">
      <c r="M48" s="50"/>
      <c r="N48" s="51"/>
      <c r="O48" s="51"/>
      <c r="P48" s="51"/>
      <c r="Q48" s="51"/>
      <c r="R48" s="51"/>
      <c r="S48" s="51"/>
      <c r="T48" s="51"/>
      <c r="U48" s="51"/>
      <c r="V48" s="52"/>
    </row>
  </sheetData>
  <mergeCells count="1">
    <mergeCell ref="M29:V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retail_orders_raw_dataset</vt:lpstr>
      <vt:lpstr>Data Dictionary</vt:lpstr>
      <vt:lpstr>Data_Cleaning</vt:lpstr>
      <vt:lpstr>Calculations</vt:lpstr>
      <vt:lpstr>Descriptive Statistics</vt:lpstr>
      <vt:lpstr>Statistical_Analysis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Rashmi Khairnar</cp:lastModifiedBy>
  <dcterms:created xsi:type="dcterms:W3CDTF">2026-09-16T06:20:35Z</dcterms:created>
  <dcterms:modified xsi:type="dcterms:W3CDTF">2026-09-16T14:50:29Z</dcterms:modified>
</cp:coreProperties>
</file>